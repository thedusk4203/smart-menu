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Đồ án tốt nghiệp\"/>
    </mc:Choice>
  </mc:AlternateContent>
  <xr:revisionPtr revIDLastSave="0" documentId="13_ncr:1_{FAA54694-8409-4D76-9452-EA411C6DBC33}" xr6:coauthVersionLast="47" xr6:coauthVersionMax="47" xr10:uidLastSave="{00000000-0000-0000-0000-000000000000}"/>
  <bookViews>
    <workbookView xWindow="-110" yWindow="-110" windowWidth="19420" windowHeight="10300" tabRatio="870" xr2:uid="{00000000-000D-0000-FFFF-FFFF00000000}"/>
  </bookViews>
  <sheets>
    <sheet name="1. Link Tài liệu" sheetId="6" r:id="rId1"/>
    <sheet name="2.Thực Phẩm sống" sheetId="5" r:id="rId2"/>
    <sheet name="3.Danh_muc_mon_an" sheetId="2" r:id="rId3"/>
    <sheet name="4. Năng lượng theo độ tuổi" sheetId="4" r:id="rId4"/>
    <sheet name="Nhu_cau_nang_luong" sheetId="3" state="hidden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2" i="2"/>
  <c r="A185" i="5" l="1"/>
  <c r="A186" i="5"/>
  <c r="A187" i="5"/>
  <c r="A188" i="5"/>
  <c r="A189" i="5"/>
  <c r="A190" i="5"/>
  <c r="A191" i="5"/>
  <c r="A192" i="5"/>
  <c r="A193" i="5"/>
  <c r="A194" i="5"/>
  <c r="A177" i="5"/>
  <c r="A178" i="5"/>
  <c r="A179" i="5"/>
  <c r="A180" i="5"/>
  <c r="A181" i="5"/>
  <c r="A182" i="5"/>
  <c r="A183" i="5"/>
  <c r="A184" i="5"/>
  <c r="A171" i="5"/>
  <c r="A172" i="5"/>
  <c r="A173" i="5"/>
  <c r="A174" i="5"/>
  <c r="A175" i="5"/>
  <c r="A176" i="5"/>
  <c r="A164" i="5"/>
  <c r="A165" i="5"/>
  <c r="A166" i="5"/>
  <c r="A167" i="5"/>
  <c r="A168" i="5"/>
  <c r="A169" i="5"/>
  <c r="A170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02" i="5"/>
  <c r="A103" i="5"/>
  <c r="A104" i="5"/>
  <c r="A105" i="5"/>
  <c r="A106" i="5"/>
  <c r="A107" i="5"/>
  <c r="A108" i="5"/>
  <c r="A109" i="5"/>
  <c r="A110" i="5"/>
  <c r="A93" i="5"/>
  <c r="A94" i="5"/>
  <c r="A95" i="5"/>
  <c r="A96" i="5"/>
  <c r="A97" i="5"/>
  <c r="A98" i="5"/>
  <c r="A99" i="5"/>
  <c r="A100" i="5"/>
  <c r="A101" i="5"/>
  <c r="A2" i="5"/>
  <c r="A3" i="6"/>
  <c r="A2" i="6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42" i="4"/>
  <c r="A43" i="4"/>
  <c r="A44" i="4"/>
  <c r="A45" i="4"/>
  <c r="A46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7" i="4"/>
  <c r="A3" i="4"/>
  <c r="A4" i="4"/>
  <c r="A5" i="4"/>
  <c r="A6" i="4"/>
  <c r="A7" i="4"/>
  <c r="A8" i="4"/>
  <c r="A9" i="4"/>
  <c r="A10" i="4"/>
  <c r="A11" i="4"/>
  <c r="A12" i="4"/>
  <c r="A13" i="4"/>
  <c r="A2" i="4"/>
  <c r="H74" i="5"/>
</calcChain>
</file>

<file path=xl/sharedStrings.xml><?xml version="1.0" encoding="utf-8"?>
<sst xmlns="http://schemas.openxmlformats.org/spreadsheetml/2006/main" count="2729" uniqueCount="1373">
  <si>
    <t>STT</t>
  </si>
  <si>
    <t>Mã thực phẩm</t>
  </si>
  <si>
    <t>Tên thực phẩm</t>
  </si>
  <si>
    <t>Năng lượng (Kcal)</t>
  </si>
  <si>
    <t>Chất đạm (g)</t>
  </si>
  <si>
    <t>Chất béo (g)</t>
  </si>
  <si>
    <t>Chất bột đường (g)</t>
  </si>
  <si>
    <t>Chất xơ (g)</t>
  </si>
  <si>
    <t>Giá tiền</t>
  </si>
  <si>
    <t>Ghi chú</t>
  </si>
  <si>
    <t>TP001</t>
  </si>
  <si>
    <t>Gạo lứt</t>
  </si>
  <si>
    <t>TP003</t>
  </si>
  <si>
    <t>TP005</t>
  </si>
  <si>
    <t>TP006</t>
  </si>
  <si>
    <t>TP007</t>
  </si>
  <si>
    <t>TP008</t>
  </si>
  <si>
    <t>TP009</t>
  </si>
  <si>
    <t>TP010</t>
  </si>
  <si>
    <t>TP011</t>
  </si>
  <si>
    <t>TP012</t>
  </si>
  <si>
    <t>TP013</t>
  </si>
  <si>
    <t>TP014</t>
  </si>
  <si>
    <t>TP020</t>
  </si>
  <si>
    <t>TP026</t>
  </si>
  <si>
    <t>TP027</t>
  </si>
  <si>
    <t>TP029</t>
  </si>
  <si>
    <t>TP030</t>
  </si>
  <si>
    <t>TP032</t>
  </si>
  <si>
    <t>TP033</t>
  </si>
  <si>
    <t>TP034</t>
  </si>
  <si>
    <t>TP035</t>
  </si>
  <si>
    <t>TP036</t>
  </si>
  <si>
    <t>TP040</t>
  </si>
  <si>
    <t>TP041</t>
  </si>
  <si>
    <t>Trứng vịt</t>
  </si>
  <si>
    <t>Sữa chua</t>
  </si>
  <si>
    <t>TP044</t>
  </si>
  <si>
    <t>TP047</t>
  </si>
  <si>
    <t>TP048</t>
  </si>
  <si>
    <t>TP049</t>
  </si>
  <si>
    <t>TP051</t>
  </si>
  <si>
    <t>TP053</t>
  </si>
  <si>
    <t>TP054</t>
  </si>
  <si>
    <t>TP056</t>
  </si>
  <si>
    <t>TP058</t>
  </si>
  <si>
    <t>TP059</t>
  </si>
  <si>
    <t>TP060</t>
  </si>
  <si>
    <t>TP061</t>
  </si>
  <si>
    <t>TP062</t>
  </si>
  <si>
    <t>TP063</t>
  </si>
  <si>
    <t>TP064</t>
  </si>
  <si>
    <t>TP065</t>
  </si>
  <si>
    <t>TP066</t>
  </si>
  <si>
    <t>TP067</t>
  </si>
  <si>
    <t>Gừng tươi</t>
  </si>
  <si>
    <t>TP068</t>
  </si>
  <si>
    <t>TP069</t>
  </si>
  <si>
    <t>TP070</t>
  </si>
  <si>
    <t>TP072</t>
  </si>
  <si>
    <t>TP073</t>
  </si>
  <si>
    <t>TP074</t>
  </si>
  <si>
    <t>TP075</t>
  </si>
  <si>
    <t>Bơ</t>
  </si>
  <si>
    <t>TP077</t>
  </si>
  <si>
    <t>TP078</t>
  </si>
  <si>
    <t>TP079</t>
  </si>
  <si>
    <t>TP080</t>
  </si>
  <si>
    <t>TP081</t>
  </si>
  <si>
    <t>TP082</t>
  </si>
  <si>
    <t>TP083</t>
  </si>
  <si>
    <t>TP084</t>
  </si>
  <si>
    <t>TP085</t>
  </si>
  <si>
    <t>TP086</t>
  </si>
  <si>
    <t>TP087</t>
  </si>
  <si>
    <t>Dầu mè</t>
  </si>
  <si>
    <t>TP088</t>
  </si>
  <si>
    <t>TP089</t>
  </si>
  <si>
    <t>TP090</t>
  </si>
  <si>
    <t>TP091</t>
  </si>
  <si>
    <t>TP092</t>
  </si>
  <si>
    <t>Gia vị</t>
  </si>
  <si>
    <t>TP093</t>
  </si>
  <si>
    <t>TP094</t>
  </si>
  <si>
    <t>Muối</t>
  </si>
  <si>
    <t>TP095</t>
  </si>
  <si>
    <t>Xì dầu</t>
  </si>
  <si>
    <t>TP096</t>
  </si>
  <si>
    <t>Tương ớt</t>
  </si>
  <si>
    <t>TP097</t>
  </si>
  <si>
    <t>TP098</t>
  </si>
  <si>
    <t>TP099</t>
  </si>
  <si>
    <t>Hạt tiêu</t>
  </si>
  <si>
    <t>TP100</t>
  </si>
  <si>
    <t>Ớt tươi</t>
  </si>
  <si>
    <t>Mã món ăn</t>
  </si>
  <si>
    <t>Nhóm món ăn</t>
  </si>
  <si>
    <t>Món chính</t>
  </si>
  <si>
    <t>Món canh</t>
  </si>
  <si>
    <t>Món phụ</t>
  </si>
  <si>
    <t>Mã nhu cầu</t>
  </si>
  <si>
    <t>Nhóm tuổi</t>
  </si>
  <si>
    <t>Tuổi từ</t>
  </si>
  <si>
    <t>Tuổi đến</t>
  </si>
  <si>
    <t>Giới tính</t>
  </si>
  <si>
    <t>Thể trạng</t>
  </si>
  <si>
    <t>BMI từ</t>
  </si>
  <si>
    <t>BMI đến</t>
  </si>
  <si>
    <t>Mức độ làm việc/vận động</t>
  </si>
  <si>
    <t>Mô tả mức độ làm việc</t>
  </si>
  <si>
    <t>Nhu cầu NL thấp nhất (Kcal/ngày)</t>
  </si>
  <si>
    <t>Nhu cầu NL cao nhất (Kcal/ngày)</t>
  </si>
  <si>
    <t>Nhu cầu NL khuyến nghị (Kcal/ngày)</t>
  </si>
  <si>
    <t>Chất đạm khuyến nghị (g/ngày)</t>
  </si>
  <si>
    <t>Chất béo khuyến nghị (g/ngày)</t>
  </si>
  <si>
    <t>Chất bột đường khuyến nghị (g/ngày)</t>
  </si>
  <si>
    <t>NC001</t>
  </si>
  <si>
    <t>1-3 tuổi</t>
  </si>
  <si>
    <t>Cả hai</t>
  </si>
  <si>
    <t>Bình thường</t>
  </si>
  <si>
    <t>Nhẹ</t>
  </si>
  <si>
    <t>Học sinh, nhân viên văn phòng, ít vận động</t>
  </si>
  <si>
    <t>NC002</t>
  </si>
  <si>
    <t>Trung bình</t>
  </si>
  <si>
    <t>Giáo viên, bán hàng, đi lại nhiều, lao động vừa</t>
  </si>
  <si>
    <t>NC003</t>
  </si>
  <si>
    <t>4-6 tuổi</t>
  </si>
  <si>
    <t>NC004</t>
  </si>
  <si>
    <t>NC005</t>
  </si>
  <si>
    <t>7-9 tuổi</t>
  </si>
  <si>
    <t>NC006</t>
  </si>
  <si>
    <t>NC007</t>
  </si>
  <si>
    <t>10-12 tuổi</t>
  </si>
  <si>
    <t>Nam</t>
  </si>
  <si>
    <t>NC008</t>
  </si>
  <si>
    <t>NC009</t>
  </si>
  <si>
    <t>Nữ</t>
  </si>
  <si>
    <t>NC010</t>
  </si>
  <si>
    <t>NC011</t>
  </si>
  <si>
    <t>13-15 tuổi</t>
  </si>
  <si>
    <t>Gầy</t>
  </si>
  <si>
    <t>Cần tăng cân</t>
  </si>
  <si>
    <t>NC012</t>
  </si>
  <si>
    <t>NC013</t>
  </si>
  <si>
    <t>NC014</t>
  </si>
  <si>
    <t>Nặng</t>
  </si>
  <si>
    <t>Công nhân, nông dân, vận động viên, lao động chân tay nặng</t>
  </si>
  <si>
    <t>NC015</t>
  </si>
  <si>
    <t>NC016</t>
  </si>
  <si>
    <t>NC017</t>
  </si>
  <si>
    <t>NC018</t>
  </si>
  <si>
    <t>16-18 tuổi</t>
  </si>
  <si>
    <t>NC019</t>
  </si>
  <si>
    <t>NC020</t>
  </si>
  <si>
    <t>NC021</t>
  </si>
  <si>
    <t>NC022</t>
  </si>
  <si>
    <t>NC023</t>
  </si>
  <si>
    <t>NC024</t>
  </si>
  <si>
    <t>NC025</t>
  </si>
  <si>
    <t>NC026</t>
  </si>
  <si>
    <t>19-30 tuổi</t>
  </si>
  <si>
    <t>NC027</t>
  </si>
  <si>
    <t>NC028</t>
  </si>
  <si>
    <t>NC029</t>
  </si>
  <si>
    <t>NC030</t>
  </si>
  <si>
    <t>NC031</t>
  </si>
  <si>
    <t>NC032</t>
  </si>
  <si>
    <t>Thừa cân</t>
  </si>
  <si>
    <t>Kiểm soát cân nặng</t>
  </si>
  <si>
    <t>NC033</t>
  </si>
  <si>
    <t>Béo phì</t>
  </si>
  <si>
    <t>Giảm cân</t>
  </si>
  <si>
    <t>NC034</t>
  </si>
  <si>
    <t>NC035</t>
  </si>
  <si>
    <t>NC036</t>
  </si>
  <si>
    <t>NC037</t>
  </si>
  <si>
    <t>NC038</t>
  </si>
  <si>
    <t>NC039</t>
  </si>
  <si>
    <t>NC040</t>
  </si>
  <si>
    <t>NC041</t>
  </si>
  <si>
    <t>NC042</t>
  </si>
  <si>
    <t>31-50 tuổi</t>
  </si>
  <si>
    <t>NC043</t>
  </si>
  <si>
    <t>NC044</t>
  </si>
  <si>
    <t>NC045</t>
  </si>
  <si>
    <t>NC046</t>
  </si>
  <si>
    <t>NC047</t>
  </si>
  <si>
    <t>NC048</t>
  </si>
  <si>
    <t>NC049</t>
  </si>
  <si>
    <t>NC050</t>
  </si>
  <si>
    <t>NC051</t>
  </si>
  <si>
    <t>NC052</t>
  </si>
  <si>
    <t>51-65 tuổi</t>
  </si>
  <si>
    <t>NC053</t>
  </si>
  <si>
    <t>NC054</t>
  </si>
  <si>
    <t>NC055</t>
  </si>
  <si>
    <t>NC056</t>
  </si>
  <si>
    <t>NC057</t>
  </si>
  <si>
    <t>NC058</t>
  </si>
  <si>
    <t>NC059</t>
  </si>
  <si>
    <t>NC060</t>
  </si>
  <si>
    <t>Trên 65 tuổi</t>
  </si>
  <si>
    <t>Chú ý dinh dưỡng</t>
  </si>
  <si>
    <t>NC061</t>
  </si>
  <si>
    <t>NC062</t>
  </si>
  <si>
    <t>NC063</t>
  </si>
  <si>
    <t>NC064</t>
  </si>
  <si>
    <t>NC065</t>
  </si>
  <si>
    <t>NC066</t>
  </si>
  <si>
    <t>NC067</t>
  </si>
  <si>
    <t>NL001</t>
  </si>
  <si>
    <t>NL002</t>
  </si>
  <si>
    <t>NL003</t>
  </si>
  <si>
    <t>NL004</t>
  </si>
  <si>
    <t>NL005</t>
  </si>
  <si>
    <t>NL006</t>
  </si>
  <si>
    <t>NL007</t>
  </si>
  <si>
    <t>NL008</t>
  </si>
  <si>
    <t>NL009</t>
  </si>
  <si>
    <t>NL010</t>
  </si>
  <si>
    <t>NL011</t>
  </si>
  <si>
    <t>NL012</t>
  </si>
  <si>
    <t>NL013</t>
  </si>
  <si>
    <t>NL014</t>
  </si>
  <si>
    <t>NL015</t>
  </si>
  <si>
    <t>0-5 Tháng tuổi</t>
  </si>
  <si>
    <t>550,0</t>
  </si>
  <si>
    <t>10,0</t>
  </si>
  <si>
    <t>24,4 - 36,7</t>
  </si>
  <si>
    <t>110,0 - 123,8</t>
  </si>
  <si>
    <t>Trẻ sơ sinh</t>
  </si>
  <si>
    <t xml:space="preserve">Nữ </t>
  </si>
  <si>
    <t>500,0</t>
  </si>
  <si>
    <t>22,2 - 33,3</t>
  </si>
  <si>
    <t>93,8 - 100,0</t>
  </si>
  <si>
    <t>6-8 Tháng tuổi</t>
  </si>
  <si>
    <t>600,0</t>
  </si>
  <si>
    <t>15,0</t>
  </si>
  <si>
    <t>20,0 - 26,7</t>
  </si>
  <si>
    <t>650,0</t>
  </si>
  <si>
    <t>21,7 - 28,9</t>
  </si>
  <si>
    <t xml:space="preserve">
Tình trạng sinh lý/Physiological condition
</t>
  </si>
  <si>
    <t>9-11 Tháng tuổi</t>
  </si>
  <si>
    <t>700,0</t>
  </si>
  <si>
    <t>25,0</t>
  </si>
  <si>
    <t>23,3 - 31,1</t>
  </si>
  <si>
    <t>1-2 Tuổi</t>
  </si>
  <si>
    <t>1000,0</t>
  </si>
  <si>
    <t>20,0</t>
  </si>
  <si>
    <t>33,3 - 44,4</t>
  </si>
  <si>
    <t>100,0 - 150,0</t>
  </si>
  <si>
    <t>Không áp dụng</t>
  </si>
  <si>
    <t>Trẻ  nhỏ</t>
  </si>
  <si>
    <t>930,0</t>
  </si>
  <si>
    <t>31,0 - 41,3</t>
  </si>
  <si>
    <t>93,0 - 139,5</t>
  </si>
  <si>
    <t>3-5 Tuổi</t>
  </si>
  <si>
    <t>1300,0</t>
  </si>
  <si>
    <t>36,1 - 50,6</t>
  </si>
  <si>
    <t>146,3 - 211,3</t>
  </si>
  <si>
    <t>1230,0</t>
  </si>
  <si>
    <t>34,2 - 47,8</t>
  </si>
  <si>
    <t>138,4 - 199,9</t>
  </si>
  <si>
    <t>6-7 Tuổi</t>
  </si>
  <si>
    <t>1570,0</t>
  </si>
  <si>
    <t>32,0</t>
  </si>
  <si>
    <t>34,9 - 52,3</t>
  </si>
  <si>
    <t>196,3 - 255,1</t>
  </si>
  <si>
    <t>1460,0</t>
  </si>
  <si>
    <t>32,4 - 48,7</t>
  </si>
  <si>
    <t>182,5 - 237,3</t>
  </si>
  <si>
    <t>NL016</t>
  </si>
  <si>
    <t>NL017</t>
  </si>
  <si>
    <t>NL018</t>
  </si>
  <si>
    <t>NL019</t>
  </si>
  <si>
    <t>NL020</t>
  </si>
  <si>
    <t>NL021</t>
  </si>
  <si>
    <t>NL022</t>
  </si>
  <si>
    <t>NL023</t>
  </si>
  <si>
    <t>NL024</t>
  </si>
  <si>
    <t>NL025</t>
  </si>
  <si>
    <t>NL026</t>
  </si>
  <si>
    <t>NL027</t>
  </si>
  <si>
    <t>NL028</t>
  </si>
  <si>
    <t>NL029</t>
  </si>
  <si>
    <t>NL030</t>
  </si>
  <si>
    <t>NL031</t>
  </si>
  <si>
    <t>NL032</t>
  </si>
  <si>
    <t>NL033</t>
  </si>
  <si>
    <t>NL034</t>
  </si>
  <si>
    <t>NL035</t>
  </si>
  <si>
    <t>NL036</t>
  </si>
  <si>
    <t>NL037</t>
  </si>
  <si>
    <t>NL038</t>
  </si>
  <si>
    <t>NL039</t>
  </si>
  <si>
    <t>NL040</t>
  </si>
  <si>
    <t>NL041</t>
  </si>
  <si>
    <t>NL042</t>
  </si>
  <si>
    <t>NL043</t>
  </si>
  <si>
    <t>NL044</t>
  </si>
  <si>
    <t>NL045</t>
  </si>
  <si>
    <t>NL046</t>
  </si>
  <si>
    <t>NL048</t>
  </si>
  <si>
    <t>NL049</t>
  </si>
  <si>
    <t>NL050</t>
  </si>
  <si>
    <t>NL051</t>
  </si>
  <si>
    <t>NL052</t>
  </si>
  <si>
    <t>NL053</t>
  </si>
  <si>
    <t>NL054</t>
  </si>
  <si>
    <t>NL055</t>
  </si>
  <si>
    <t>NL056</t>
  </si>
  <si>
    <t>NL057</t>
  </si>
  <si>
    <t>NL058</t>
  </si>
  <si>
    <t>NL059</t>
  </si>
  <si>
    <t>NL060</t>
  </si>
  <si>
    <t>NL061</t>
  </si>
  <si>
    <t>NL062</t>
  </si>
  <si>
    <t>NL063</t>
  </si>
  <si>
    <t>NL064</t>
  </si>
  <si>
    <t>NL065</t>
  </si>
  <si>
    <t>NL066</t>
  </si>
  <si>
    <t>NL067</t>
  </si>
  <si>
    <t>NL068</t>
  </si>
  <si>
    <t>NL069</t>
  </si>
  <si>
    <t>NL070</t>
  </si>
  <si>
    <t>NL071</t>
  </si>
  <si>
    <t>NL072</t>
  </si>
  <si>
    <t>NL073</t>
  </si>
  <si>
    <t>NL074</t>
  </si>
  <si>
    <t>NL075</t>
  </si>
  <si>
    <t>NL076</t>
  </si>
  <si>
    <t>NL077</t>
  </si>
  <si>
    <t>NL078</t>
  </si>
  <si>
    <t>NL079</t>
  </si>
  <si>
    <t>NL080</t>
  </si>
  <si>
    <t>NL081</t>
  </si>
  <si>
    <t>NL082</t>
  </si>
  <si>
    <t>NL083</t>
  </si>
  <si>
    <t>NL084</t>
  </si>
  <si>
    <t>NL085</t>
  </si>
  <si>
    <t>NL086</t>
  </si>
  <si>
    <t>NL087</t>
  </si>
  <si>
    <t>NL088</t>
  </si>
  <si>
    <t>NL089</t>
  </si>
  <si>
    <t>NL090</t>
  </si>
  <si>
    <t>NL091</t>
  </si>
  <si>
    <t>NL092</t>
  </si>
  <si>
    <t>NL093</t>
  </si>
  <si>
    <t>NL094</t>
  </si>
  <si>
    <t>NL095</t>
  </si>
  <si>
    <t>NL096</t>
  </si>
  <si>
    <t>NL097</t>
  </si>
  <si>
    <t>NL098</t>
  </si>
  <si>
    <t>NL099</t>
  </si>
  <si>
    <t>NL100</t>
  </si>
  <si>
    <t>1360,0</t>
  </si>
  <si>
    <t>30,2 - 45,3</t>
  </si>
  <si>
    <t>170,0 - 221,0</t>
  </si>
  <si>
    <t>1270,0</t>
  </si>
  <si>
    <t>28,2 - 42,3</t>
  </si>
  <si>
    <t>158,8 - 206,4</t>
  </si>
  <si>
    <t>1770,0</t>
  </si>
  <si>
    <t>39,3 - 59,0</t>
  </si>
  <si>
    <t>221,3 - 287,6</t>
  </si>
  <si>
    <t>1650,0</t>
  </si>
  <si>
    <t>2050,0</t>
  </si>
  <si>
    <t>2150,0</t>
  </si>
  <si>
    <t>36,7 - 55,0</t>
  </si>
  <si>
    <t>206,3 - 268,1</t>
  </si>
  <si>
    <t>8-9 Tuổi</t>
  </si>
  <si>
    <t>1600,0</t>
  </si>
  <si>
    <t>38,0</t>
  </si>
  <si>
    <t>35,6 - 53,3</t>
  </si>
  <si>
    <t>200,0 - 260,0</t>
  </si>
  <si>
    <t>1510,0</t>
  </si>
  <si>
    <t>39,0</t>
  </si>
  <si>
    <t>33,6 - 50,3</t>
  </si>
  <si>
    <t>188,8 - 245,4</t>
  </si>
  <si>
    <t>1820,0</t>
  </si>
  <si>
    <t>40,4 - 60,7</t>
  </si>
  <si>
    <t>227,5 - 295,8</t>
  </si>
  <si>
    <t>Trẻ  em</t>
  </si>
  <si>
    <t>1730,0</t>
  </si>
  <si>
    <t>38,4 - 57,7</t>
  </si>
  <si>
    <t>216,3 - 281,1</t>
  </si>
  <si>
    <t>45,6 - 68,3</t>
  </si>
  <si>
    <t>256,3 - 333,1</t>
  </si>
  <si>
    <t>1940,0</t>
  </si>
  <si>
    <t>43,1 - 64,7</t>
  </si>
  <si>
    <t>242,5 - 315,3</t>
  </si>
  <si>
    <t>10-11 Tuổi</t>
  </si>
  <si>
    <t xml:space="preserve">Nam </t>
  </si>
  <si>
    <t>1880,0</t>
  </si>
  <si>
    <t>49,0</t>
  </si>
  <si>
    <t>41,8 - 62,7</t>
  </si>
  <si>
    <t>235,0 - 305,5</t>
  </si>
  <si>
    <t>1740,0</t>
  </si>
  <si>
    <t>48,0</t>
  </si>
  <si>
    <t>38,7 - 58,0</t>
  </si>
  <si>
    <t>217,5 - 282,8</t>
  </si>
  <si>
    <t>47,8 - 71,7</t>
  </si>
  <si>
    <t>268,8 - 349,4</t>
  </si>
  <si>
    <t>1980,0</t>
  </si>
  <si>
    <t>44,0 - 66,0</t>
  </si>
  <si>
    <t>247,5 - 321,8</t>
  </si>
  <si>
    <t>2400,0</t>
  </si>
  <si>
    <t>53,3 - 80,0</t>
  </si>
  <si>
    <t>300,0 - 390,0</t>
  </si>
  <si>
    <t>2220,0</t>
  </si>
  <si>
    <t>49,3 - 74,0</t>
  </si>
  <si>
    <t>277,5 - 360,8</t>
  </si>
  <si>
    <t>12-14 Tuổi</t>
  </si>
  <si>
    <t>Thanh thiếu niên</t>
  </si>
  <si>
    <t>2200,0</t>
  </si>
  <si>
    <t>60,0</t>
  </si>
  <si>
    <t>48,9 - 73,3</t>
  </si>
  <si>
    <t>275,0 - 357,5</t>
  </si>
  <si>
    <t>2040,0</t>
  </si>
  <si>
    <t>54,0</t>
  </si>
  <si>
    <t>45,3 - 68,0</t>
  </si>
  <si>
    <t>255,0 - 331,5</t>
  </si>
  <si>
    <t>2500,0</t>
  </si>
  <si>
    <t>55,6 - 83,3</t>
  </si>
  <si>
    <t>312,5 - 406,3</t>
  </si>
  <si>
    <t>2310,0</t>
  </si>
  <si>
    <t>51,3 - 77,0</t>
  </si>
  <si>
    <t>288,8 - 375,4</t>
  </si>
  <si>
    <t>2790,0</t>
  </si>
  <si>
    <t>62,0 - 93,0</t>
  </si>
  <si>
    <t>348,8 - 453,4</t>
  </si>
  <si>
    <t>2580,0</t>
  </si>
  <si>
    <t>57,3 - 86,0</t>
  </si>
  <si>
    <t>322,5 - 419,3</t>
  </si>
  <si>
    <t>15-17 Tuổi</t>
  </si>
  <si>
    <t>62,0</t>
  </si>
  <si>
    <t>2110,0</t>
  </si>
  <si>
    <t>58,0</t>
  </si>
  <si>
    <t>46,9 - 70,3</t>
  </si>
  <si>
    <t>263,8 - 342,9</t>
  </si>
  <si>
    <t>2820,0</t>
  </si>
  <si>
    <t>62,7 - 94,0</t>
  </si>
  <si>
    <t>352,5 - 458,3</t>
  </si>
  <si>
    <t>2380,0</t>
  </si>
  <si>
    <t>52,9 - 79,3</t>
  </si>
  <si>
    <t>297,5 - 386,8</t>
  </si>
  <si>
    <t>3140,0</t>
  </si>
  <si>
    <t>69,8 - 104,7</t>
  </si>
  <si>
    <t>392,5 - 510,3</t>
  </si>
  <si>
    <t>2650,0</t>
  </si>
  <si>
    <t>58,9 - 88,3</t>
  </si>
  <si>
    <t>331,3 - 430,6</t>
  </si>
  <si>
    <t>18-29 Tuổi</t>
  </si>
  <si>
    <t>2205,0</t>
  </si>
  <si>
    <t>57,0</t>
  </si>
  <si>
    <t>49,0 - 61,3</t>
  </si>
  <si>
    <t>275,6 - 358,3</t>
  </si>
  <si>
    <t>Người trưởng thành</t>
  </si>
  <si>
    <t>1760,0</t>
  </si>
  <si>
    <t>NL101</t>
  </si>
  <si>
    <t>NL102</t>
  </si>
  <si>
    <t>NL103</t>
  </si>
  <si>
    <t>NL104</t>
  </si>
  <si>
    <t>NL105</t>
  </si>
  <si>
    <t>Không có thai</t>
  </si>
  <si>
    <t>Phụ nữ mang thai 3 tháng đầu</t>
  </si>
  <si>
    <t>Phụ nữ mang thai 3 tháng giữa</t>
  </si>
  <si>
    <t>Phụ nữ mang thai 3 tháng cuối</t>
  </si>
  <si>
    <t>Phụ nữ đang cho con bú</t>
  </si>
  <si>
    <t>39,1 - 48,9</t>
  </si>
  <si>
    <t>220,0 - 286,0</t>
  </si>
  <si>
    <t>2570,0</t>
  </si>
  <si>
    <t>57,1 - 71,4</t>
  </si>
  <si>
    <t>321,3 - 417,6</t>
  </si>
  <si>
    <t>45,6 - 56,9</t>
  </si>
  <si>
    <t>2940,0</t>
  </si>
  <si>
    <t>65,3 - 81,7</t>
  </si>
  <si>
    <t>367,5 - 477,8</t>
  </si>
  <si>
    <t>2340,0</t>
  </si>
  <si>
    <t>52,0 - 65,0</t>
  </si>
  <si>
    <t>292,5 - 380,3</t>
  </si>
  <si>
    <t>2100,0</t>
  </si>
  <si>
    <t>3,5</t>
  </si>
  <si>
    <t>262,5 - 341,3</t>
  </si>
  <si>
    <t>2300,0</t>
  </si>
  <si>
    <t>20,4</t>
  </si>
  <si>
    <t>287,5 - 373,8</t>
  </si>
  <si>
    <t>74,0</t>
  </si>
  <si>
    <t>38,9</t>
  </si>
  <si>
    <t>2550,0</t>
  </si>
  <si>
    <t>69,0</t>
  </si>
  <si>
    <t>31,2</t>
  </si>
  <si>
    <t>318,8 - 414,4</t>
  </si>
  <si>
    <t>30-49 Tuổi</t>
  </si>
  <si>
    <t>NL047</t>
  </si>
  <si>
    <t>NL106</t>
  </si>
  <si>
    <t>NL107</t>
  </si>
  <si>
    <t>NL108</t>
  </si>
  <si>
    <t>2430,0</t>
  </si>
  <si>
    <t>4,1</t>
  </si>
  <si>
    <t>303,8 - 394,9</t>
  </si>
  <si>
    <t>63,0</t>
  </si>
  <si>
    <t>21,6</t>
  </si>
  <si>
    <t>2830,0</t>
  </si>
  <si>
    <t>83,0</t>
  </si>
  <si>
    <t>44,0</t>
  </si>
  <si>
    <t>353,8 - 459,9</t>
  </si>
  <si>
    <t>2880,0</t>
  </si>
  <si>
    <t>78,0</t>
  </si>
  <si>
    <t>35,2</t>
  </si>
  <si>
    <t>360,0 - 468,0</t>
  </si>
  <si>
    <t>56,0</t>
  </si>
  <si>
    <t>45,3 - 56,7</t>
  </si>
  <si>
    <t>38,4 - 48,1</t>
  </si>
  <si>
    <t>52,9 - 66,1</t>
  </si>
  <si>
    <t>2010,0</t>
  </si>
  <si>
    <t>44,7 - 55,8</t>
  </si>
  <si>
    <t>251,3 - 326,6</t>
  </si>
  <si>
    <t>2720,0</t>
  </si>
  <si>
    <t>60,4 - 75,6</t>
  </si>
  <si>
    <t>340,0 - 442,0</t>
  </si>
  <si>
    <t>51,1 - 63,9</t>
  </si>
  <si>
    <t>2060,0</t>
  </si>
  <si>
    <t>3,4</t>
  </si>
  <si>
    <t>257,5 - 334,8</t>
  </si>
  <si>
    <t>2260,0</t>
  </si>
  <si>
    <t>282,5 - 367,3</t>
  </si>
  <si>
    <t>2460,0</t>
  </si>
  <si>
    <t>38,3</t>
  </si>
  <si>
    <t>307,5 - 399,8</t>
  </si>
  <si>
    <t>2510,0</t>
  </si>
  <si>
    <t>30,7</t>
  </si>
  <si>
    <t>313,8 - 407,9</t>
  </si>
  <si>
    <t>50-64 Tuổi</t>
  </si>
  <si>
    <t>Chưa đủ tuổi mang thai</t>
  </si>
  <si>
    <t>Người trung niên</t>
  </si>
  <si>
    <t>Thanh Niên</t>
  </si>
  <si>
    <t>2025,0</t>
  </si>
  <si>
    <t>45,0 - 56,3</t>
  </si>
  <si>
    <t>253,1 - 329,1</t>
  </si>
  <si>
    <t>1700,0</t>
  </si>
  <si>
    <t>51,0</t>
  </si>
  <si>
    <t>37,8 - 47,2</t>
  </si>
  <si>
    <t>212,5 - 276,3</t>
  </si>
  <si>
    <t>2360,0</t>
  </si>
  <si>
    <t>52,4 - 65,6</t>
  </si>
  <si>
    <t>295,0 - 383,5</t>
  </si>
  <si>
    <t>44,0 - 55,0</t>
  </si>
  <si>
    <t>2700,0</t>
  </si>
  <si>
    <t>60,0 - 75,0</t>
  </si>
  <si>
    <t>337,5 - 438,8</t>
  </si>
  <si>
    <t>50,2 - 62,8</t>
  </si>
  <si>
    <t>65-74 Tuổi</t>
  </si>
  <si>
    <t>Người cao tuổi</t>
  </si>
  <si>
    <t>1885,0</t>
  </si>
  <si>
    <t>41,9 - 52,4</t>
  </si>
  <si>
    <t>235,6 - 306,3</t>
  </si>
  <si>
    <t>1550,0</t>
  </si>
  <si>
    <t>34,4 - 43,1</t>
  </si>
  <si>
    <t>193,8 - 251,9</t>
  </si>
  <si>
    <t>2210,0</t>
  </si>
  <si>
    <t>49,1 - 61,4</t>
  </si>
  <si>
    <t>276,3 - 359,1</t>
  </si>
  <si>
    <t>40,4 - 50,6</t>
  </si>
  <si>
    <t>2535,0</t>
  </si>
  <si>
    <t>56,3 - 70,4</t>
  </si>
  <si>
    <t>316,9 - 411,9</t>
  </si>
  <si>
    <t>2090,0</t>
  </si>
  <si>
    <t>46,4 - 58,1</t>
  </si>
  <si>
    <t>261,3 - 339,6</t>
  </si>
  <si>
    <t>Lớn hơn 75 Tuổi</t>
  </si>
  <si>
    <t>Lớn hơn 75</t>
  </si>
  <si>
    <t>Lớn hơn 76</t>
  </si>
  <si>
    <t>Lớn hơn 77</t>
  </si>
  <si>
    <t>Lớn hơn 78</t>
  </si>
  <si>
    <t>Lớn hơn 79</t>
  </si>
  <si>
    <t>Lớn hơn 80</t>
  </si>
  <si>
    <t>1810,0</t>
  </si>
  <si>
    <t>40,2 - 50,3</t>
  </si>
  <si>
    <t>226,3 - 294,1</t>
  </si>
  <si>
    <t>1500,0</t>
  </si>
  <si>
    <t>33,3 - 41,7</t>
  </si>
  <si>
    <t>187,5 - 243,8</t>
  </si>
  <si>
    <t>2130,0</t>
  </si>
  <si>
    <t>47,3 - 59,2</t>
  </si>
  <si>
    <t>266,3 - 346,1</t>
  </si>
  <si>
    <t>1765,0</t>
  </si>
  <si>
    <t>39,2 - 49,0</t>
  </si>
  <si>
    <t>220,6 - 286,8</t>
  </si>
  <si>
    <t>20,0 - 25,0</t>
  </si>
  <si>
    <t>50,0 - 65,0</t>
  </si>
  <si>
    <t>20,0 - 25,1</t>
  </si>
  <si>
    <t>50,0 - 65,1</t>
  </si>
  <si>
    <t>TP101</t>
  </si>
  <si>
    <t>TP102</t>
  </si>
  <si>
    <t>TP103</t>
  </si>
  <si>
    <t>TP104</t>
  </si>
  <si>
    <t>TP105</t>
  </si>
  <si>
    <t>TP106</t>
  </si>
  <si>
    <t>TP107</t>
  </si>
  <si>
    <t>TP108</t>
  </si>
  <si>
    <t>TP109</t>
  </si>
  <si>
    <t>TP110</t>
  </si>
  <si>
    <t>TP111</t>
  </si>
  <si>
    <t>TP112</t>
  </si>
  <si>
    <t>TP113</t>
  </si>
  <si>
    <t>TP114</t>
  </si>
  <si>
    <t>TP115</t>
  </si>
  <si>
    <t>TP116</t>
  </si>
  <si>
    <t>TP117</t>
  </si>
  <si>
    <t>TP118</t>
  </si>
  <si>
    <t>TP119</t>
  </si>
  <si>
    <t>TP120</t>
  </si>
  <si>
    <t>TP121</t>
  </si>
  <si>
    <t>TP122</t>
  </si>
  <si>
    <t>TP123</t>
  </si>
  <si>
    <t>TP124</t>
  </si>
  <si>
    <t>TP125</t>
  </si>
  <si>
    <t>TP126</t>
  </si>
  <si>
    <t>TP127</t>
  </si>
  <si>
    <t>TP128</t>
  </si>
  <si>
    <t>Gạo, trắng, nếp cái, sống</t>
  </si>
  <si>
    <t>3,9</t>
  </si>
  <si>
    <t>4,4</t>
  </si>
  <si>
    <t>4,8</t>
  </si>
  <si>
    <t>1,5</t>
  </si>
  <si>
    <t>61 </t>
  </si>
  <si>
    <t>3,3</t>
  </si>
  <si>
    <t>3,7</t>
  </si>
  <si>
    <t>3,6</t>
  </si>
  <si>
    <t>75,1</t>
  </si>
  <si>
    <t>0,4</t>
  </si>
  <si>
    <t>82,6</t>
  </si>
  <si>
    <t>Link</t>
  </si>
  <si>
    <t>https://viendinhduong.vn/vi/cong-cu-va-tien-ich/gia-tri-dinh-duong-thuc-pham</t>
  </si>
  <si>
    <t>https://www.fao.org/fileadmin/templates/food_composition/documents/pdf/VTN_FCT_2007.pdf</t>
  </si>
  <si>
    <t>Đơn vị tính(g)</t>
  </si>
  <si>
    <t>8,6</t>
  </si>
  <si>
    <t>0,6</t>
  </si>
  <si>
    <t>8,4</t>
  </si>
  <si>
    <t>1,6</t>
  </si>
  <si>
    <t>0,5</t>
  </si>
  <si>
    <t>8,1</t>
  </si>
  <si>
    <t>1,3</t>
  </si>
  <si>
    <t>0,7</t>
  </si>
  <si>
    <t>7,9</t>
  </si>
  <si>
    <t>76,3</t>
  </si>
  <si>
    <t>7,5</t>
  </si>
  <si>
    <t> 359</t>
  </si>
  <si>
    <t>2,6</t>
  </si>
  <si>
    <t>76,1</t>
  </si>
  <si>
    <t>Kê, hạt, sống</t>
  </si>
  <si>
    <t>72,4</t>
  </si>
  <si>
    <t>Ngô, cả bắp, tươi</t>
  </si>
  <si>
    <t>2,3</t>
  </si>
  <si>
    <t>40,8</t>
  </si>
  <si>
    <t>1,2</t>
  </si>
  <si>
    <t>Bánh bao, nhân thịt</t>
  </si>
  <si>
    <t>10,4</t>
  </si>
  <si>
    <t>60,4</t>
  </si>
  <si>
    <t>10,8</t>
  </si>
  <si>
    <t>34,2</t>
  </si>
  <si>
    <t>0,2</t>
  </si>
  <si>
    <t>79,4</t>
  </si>
  <si>
    <t>0,9</t>
  </si>
  <si>
    <t>0,3</t>
  </si>
  <si>
    <t>0,1</t>
  </si>
  <si>
    <t>0,8</t>
  </si>
  <si>
    <t>3,2</t>
  </si>
  <si>
    <t>6,8</t>
  </si>
  <si>
    <t>30,8</t>
  </si>
  <si>
    <t>Bột gạo, gạo nếp thường</t>
  </si>
  <si>
    <t>8,2</t>
  </si>
  <si>
    <t>9,2</t>
  </si>
  <si>
    <t>12,2</t>
  </si>
  <si>
    <t>15,2</t>
  </si>
  <si>
    <t>Bột gạo, gạo tẻ</t>
  </si>
  <si>
    <t>6,6</t>
  </si>
  <si>
    <t>Bột mì, trắng</t>
  </si>
  <si>
    <t>1,1</t>
  </si>
  <si>
    <t>73,2</t>
  </si>
  <si>
    <t>Bột ngô, ngô vàng</t>
  </si>
  <si>
    <t>8,3</t>
  </si>
  <si>
    <t>74,5</t>
  </si>
  <si>
    <t xml:space="preserve">1,5	</t>
  </si>
  <si>
    <t>Bún, tươi</t>
  </si>
  <si>
    <t>1,7</t>
  </si>
  <si>
    <t>25,3</t>
  </si>
  <si>
    <t>Cốm, tươi</t>
  </si>
  <si>
    <t> 307</t>
  </si>
  <si>
    <t>68,3</t>
  </si>
  <si>
    <t>2,2</t>
  </si>
  <si>
    <t>5,5</t>
  </si>
  <si>
    <t>5,6</t>
  </si>
  <si>
    <t>3,1</t>
  </si>
  <si>
    <t>6,1</t>
  </si>
  <si>
    <t>Bánh đa (đỏ, trắng)</t>
  </si>
  <si>
    <t>5,2</t>
  </si>
  <si>
    <t>81,4</t>
  </si>
  <si>
    <t>1,4</t>
  </si>
  <si>
    <t>Mỳ ăn liền, lúa mì</t>
  </si>
  <si>
    <t>Ngũ Cốc và Sản phẩm chế biến</t>
  </si>
  <si>
    <t>Khoai củ và Sản phẩm chế biến</t>
  </si>
  <si>
    <t>Củ ấu, tươi</t>
  </si>
  <si>
    <t>Củ dong, tươi</t>
  </si>
  <si>
    <t>2,4</t>
  </si>
  <si>
    <t>Nên hạn chế mang thai do đã lớn tuổi</t>
  </si>
  <si>
    <t>Khoai lang, tươi</t>
  </si>
  <si>
    <t>124 </t>
  </si>
  <si>
    <t>29,8</t>
  </si>
  <si>
    <t>4,3</t>
  </si>
  <si>
    <t>5,3</t>
  </si>
  <si>
    <t>7,3</t>
  </si>
  <si>
    <t>Khoai sọ, tươi</t>
  </si>
  <si>
    <t>119 </t>
  </si>
  <si>
    <t>1,8</t>
  </si>
  <si>
    <t>27,7</t>
  </si>
  <si>
    <t>28,2</t>
  </si>
  <si>
    <t>Khoai tây, tươi</t>
  </si>
  <si>
    <t>96 </t>
  </si>
  <si>
    <t>21,9</t>
  </si>
  <si>
    <t>Miến dong, khô</t>
  </si>
  <si>
    <t>338 </t>
  </si>
  <si>
    <t>83,7</t>
  </si>
  <si>
    <t>Bột khoai lang</t>
  </si>
  <si>
    <t>81,8</t>
  </si>
  <si>
    <t>Củ sắn dây, tươi</t>
  </si>
  <si>
    <t>156 </t>
  </si>
  <si>
    <t>37,2</t>
  </si>
  <si>
    <t>8,9</t>
  </si>
  <si>
    <t>Bột sắn dây</t>
  </si>
  <si>
    <t>85,1</t>
  </si>
  <si>
    <t>Hạt, quả và Sản phẩm chế biến</t>
  </si>
  <si>
    <t>10,5</t>
  </si>
  <si>
    <t>4,2</t>
  </si>
  <si>
    <t>Cùi dừa non, tươi</t>
  </si>
  <si>
    <t>54 </t>
  </si>
  <si>
    <t>Đậu đen, hạt, khô</t>
  </si>
  <si>
    <t>341 </t>
  </si>
  <si>
    <t>24,2</t>
  </si>
  <si>
    <t>57,3</t>
  </si>
  <si>
    <t>342 </t>
  </si>
  <si>
    <t>60,1</t>
  </si>
  <si>
    <t>Đậu xanh (đậu tắt), hạt, khô</t>
  </si>
  <si>
    <t>23,4</t>
  </si>
  <si>
    <t>57,8</t>
  </si>
  <si>
    <t>4,7</t>
  </si>
  <si>
    <t>652 </t>
  </si>
  <si>
    <t>363 </t>
  </si>
  <si>
    <t>79,7</t>
  </si>
  <si>
    <t>Hạt điều, khô</t>
  </si>
  <si>
    <t>18,4</t>
  </si>
  <si>
    <t>46,3</t>
  </si>
  <si>
    <t>29,3</t>
  </si>
  <si>
    <t>Lạc hạt, khô</t>
  </si>
  <si>
    <t>27,5</t>
  </si>
  <si>
    <t>44,5</t>
  </si>
  <si>
    <t>2,5</t>
  </si>
  <si>
    <t>Vừng (đen, trắng), hạt, khô</t>
  </si>
  <si>
    <t>582 </t>
  </si>
  <si>
    <t>20,1</t>
  </si>
  <si>
    <t>46,4</t>
  </si>
  <si>
    <t>21,1</t>
  </si>
  <si>
    <t>Bột đậu xanh</t>
  </si>
  <si>
    <t>24,6</t>
  </si>
  <si>
    <t>Đậu phụ, sống</t>
  </si>
  <si>
    <t>97 </t>
  </si>
  <si>
    <t>10,9</t>
  </si>
  <si>
    <t>5,4</t>
  </si>
  <si>
    <t>Hạt bí đỏ, rang</t>
  </si>
  <si>
    <t>528 </t>
  </si>
  <si>
    <t>35,1</t>
  </si>
  <si>
    <t>31,8</t>
  </si>
  <si>
    <t>9,5</t>
  </si>
  <si>
    <t>Hạt hướng dương rang</t>
  </si>
  <si>
    <t>53,6</t>
  </si>
  <si>
    <t>20,8</t>
  </si>
  <si>
    <t>Hạt hạnh nhân rang</t>
  </si>
  <si>
    <t>21,2</t>
  </si>
  <si>
    <t>55,1</t>
  </si>
  <si>
    <t>17,6</t>
  </si>
  <si>
    <t>17,7</t>
  </si>
  <si>
    <t>Hạt óc chó rang</t>
  </si>
  <si>
    <t>703 </t>
  </si>
  <si>
    <t>65,2</t>
  </si>
  <si>
    <t>13,7</t>
  </si>
  <si>
    <t>6,7</t>
  </si>
  <si>
    <t>7,7</t>
  </si>
  <si>
    <t>76,0</t>
  </si>
  <si>
    <t>9,9</t>
  </si>
  <si>
    <t>12,8</t>
  </si>
  <si>
    <t>Hạt macca rang</t>
  </si>
  <si>
    <t>Hạt dẻ cười rang</t>
  </si>
  <si>
    <t>21,0</t>
  </si>
  <si>
    <t>45,8</t>
  </si>
  <si>
    <t>10,3</t>
  </si>
  <si>
    <t>Quả chín</t>
  </si>
  <si>
    <t>Bưởi, tươi</t>
  </si>
  <si>
    <t>33 </t>
  </si>
  <si>
    <t>Cam, tươi</t>
  </si>
  <si>
    <t>9,7</t>
  </si>
  <si>
    <t>Chanh, tươi</t>
  </si>
  <si>
    <t>29 </t>
  </si>
  <si>
    <t>5,9</t>
  </si>
  <si>
    <t>Chôm chôm, tươi</t>
  </si>
  <si>
    <t>Chuối tây, tươi</t>
  </si>
  <si>
    <t>66 </t>
  </si>
  <si>
    <t>Chuối tiêu, tươi</t>
  </si>
  <si>
    <t>100 </t>
  </si>
  <si>
    <t>Dâu tây, tươi</t>
  </si>
  <si>
    <t>12,1</t>
  </si>
  <si>
    <t>Dưa hấu, tươi</t>
  </si>
  <si>
    <t>18 </t>
  </si>
  <si>
    <t>2,8</t>
  </si>
  <si>
    <t>Dứa ta, tươi</t>
  </si>
  <si>
    <t>32 </t>
  </si>
  <si>
    <t>Lê, tươi</t>
  </si>
  <si>
    <t>48 </t>
  </si>
  <si>
    <t>Nhãn, tươi</t>
  </si>
  <si>
    <t>Nho ngọt, tươi</t>
  </si>
  <si>
    <t>71 </t>
  </si>
  <si>
    <t>16,9</t>
  </si>
  <si>
    <t>12,9</t>
  </si>
  <si>
    <t>Quả bơ vỏ tím, tươi</t>
  </si>
  <si>
    <t>6,2</t>
  </si>
  <si>
    <t>103 </t>
  </si>
  <si>
    <t>1,9</t>
  </si>
  <si>
    <t>9,4</t>
  </si>
  <si>
    <t>Quả cóc, tươi</t>
  </si>
  <si>
    <t>Quả bơ vỏ xanh, tươi</t>
  </si>
  <si>
    <t>62 </t>
  </si>
  <si>
    <t>Quả thanh long, tươi</t>
  </si>
  <si>
    <t>47 </t>
  </si>
  <si>
    <t>Quít, tươi</t>
  </si>
  <si>
    <t>40 </t>
  </si>
  <si>
    <t>Sầu riêng, tươi</t>
  </si>
  <si>
    <t>28,3</t>
  </si>
  <si>
    <t>Táo ta, tươi</t>
  </si>
  <si>
    <t>Táo tây, tươi</t>
  </si>
  <si>
    <t>50 </t>
  </si>
  <si>
    <t>11,7</t>
  </si>
  <si>
    <t>Vải, tươi</t>
  </si>
  <si>
    <t>49 </t>
  </si>
  <si>
    <t>10,7</t>
  </si>
  <si>
    <t>Xoài chín, tươi</t>
  </si>
  <si>
    <t>69 </t>
  </si>
  <si>
    <t>15,9</t>
  </si>
  <si>
    <t>Quả kiwi, tươi</t>
  </si>
  <si>
    <t>14,6</t>
  </si>
  <si>
    <t>Dưa lưới</t>
  </si>
  <si>
    <t>38 </t>
  </si>
  <si>
    <t>Măng cụt</t>
  </si>
  <si>
    <t>65 </t>
  </si>
  <si>
    <t>14,4</t>
  </si>
  <si>
    <t>Rau ,củ, quả</t>
  </si>
  <si>
    <t>Quả bầu, tươi</t>
  </si>
  <si>
    <t>3,8</t>
  </si>
  <si>
    <t>Quả bí đao (bí xanh), tươi</t>
  </si>
  <si>
    <t>16 </t>
  </si>
  <si>
    <t>Quả cà chua, tươi</t>
  </si>
  <si>
    <t>Quả cà pháo, tươi</t>
  </si>
  <si>
    <t>Củ cà rốt, tươi</t>
  </si>
  <si>
    <t>9,0</t>
  </si>
  <si>
    <t>Quả cà tím, tươi</t>
  </si>
  <si>
    <t>28 </t>
  </si>
  <si>
    <t>Cải bắp trắng, tươi</t>
  </si>
  <si>
    <t>36 </t>
  </si>
  <si>
    <t>6,9</t>
  </si>
  <si>
    <t>Cần tây, tươi</t>
  </si>
  <si>
    <t>Chuối xanh, tươi</t>
  </si>
  <si>
    <t>78 </t>
  </si>
  <si>
    <t>17,4</t>
  </si>
  <si>
    <t>Củ đậu, tươi</t>
  </si>
  <si>
    <t>Dưa chuột, tươi</t>
  </si>
  <si>
    <t>Đậu cô ve, quả, tươi</t>
  </si>
  <si>
    <t>77 </t>
  </si>
  <si>
    <t>14,3</t>
  </si>
  <si>
    <t>Đậu đũa, quả, tươi</t>
  </si>
  <si>
    <t>67 </t>
  </si>
  <si>
    <t>Giá đậu xanh, tươi</t>
  </si>
  <si>
    <t>52 </t>
  </si>
  <si>
    <t>7,1</t>
  </si>
  <si>
    <t>Hành củ, tươi</t>
  </si>
  <si>
    <t xml:space="preserve">0,2	</t>
  </si>
  <si>
    <t>Hành lá (hành hoa), tươi</t>
  </si>
  <si>
    <t>26 </t>
  </si>
  <si>
    <t>Hành tây, tươi</t>
  </si>
  <si>
    <t>Hạt sen, tươi</t>
  </si>
  <si>
    <t>30,3</t>
  </si>
  <si>
    <t>Hạt sen, khô</t>
  </si>
  <si>
    <t>60,2</t>
  </si>
  <si>
    <t>Mướp, tươi</t>
  </si>
  <si>
    <t>Rau húng, tươi</t>
  </si>
  <si>
    <t>Rau khoai lang, tươi</t>
  </si>
  <si>
    <t>5,0</t>
  </si>
  <si>
    <t>Rau mồng tơi, tươi</t>
  </si>
  <si>
    <t>24 </t>
  </si>
  <si>
    <t>Rau muống, tươi</t>
  </si>
  <si>
    <t>Rau ngót, tươi</t>
  </si>
  <si>
    <t>45 </t>
  </si>
  <si>
    <t>Súp lơ trắng, tươi</t>
  </si>
  <si>
    <t>Súp lơ xanh, tươi</t>
  </si>
  <si>
    <t>39 </t>
  </si>
  <si>
    <t>2,9</t>
  </si>
  <si>
    <t>6,0</t>
  </si>
  <si>
    <t>Tỏi ta, tươi</t>
  </si>
  <si>
    <t>126 </t>
  </si>
  <si>
    <t>Tỏi tây, cả lá, tươi</t>
  </si>
  <si>
    <t>7,4</t>
  </si>
  <si>
    <t>TP129</t>
  </si>
  <si>
    <t>TP130</t>
  </si>
  <si>
    <t>TP131</t>
  </si>
  <si>
    <t>TP132</t>
  </si>
  <si>
    <t>TP133</t>
  </si>
  <si>
    <t>TP134</t>
  </si>
  <si>
    <t>TP135</t>
  </si>
  <si>
    <t>TP136</t>
  </si>
  <si>
    <t>Mộc nhĩ, khô</t>
  </si>
  <si>
    <t>10,6</t>
  </si>
  <si>
    <t>Nấm hương, khô</t>
  </si>
  <si>
    <t xml:space="preserve">36	</t>
  </si>
  <si>
    <t>40,5</t>
  </si>
  <si>
    <t>Hành khô</t>
  </si>
  <si>
    <t>15,6</t>
  </si>
  <si>
    <t>Cải ngồng</t>
  </si>
  <si>
    <t>2,1</t>
  </si>
  <si>
    <t>Dầu , mỡ , bơ</t>
  </si>
  <si>
    <t>756 </t>
  </si>
  <si>
    <t>83,5</t>
  </si>
  <si>
    <t>Dầu thảo mộc (Lạc, vừng, cám...)</t>
  </si>
  <si>
    <t>897 </t>
  </si>
  <si>
    <t>99,7</t>
  </si>
  <si>
    <t>Bơ thực vật</t>
  </si>
  <si>
    <t>729 </t>
  </si>
  <si>
    <t>80,7</t>
  </si>
  <si>
    <t>Dầu dừa</t>
  </si>
  <si>
    <t>900 </t>
  </si>
  <si>
    <t>Dầu lạc</t>
  </si>
  <si>
    <t>Dầu oliu</t>
  </si>
  <si>
    <t>Dầu hỗn hợp</t>
  </si>
  <si>
    <t>TP137</t>
  </si>
  <si>
    <t>TP138</t>
  </si>
  <si>
    <t>TP139</t>
  </si>
  <si>
    <t>TP140</t>
  </si>
  <si>
    <t>TP141</t>
  </si>
  <si>
    <t>TP142</t>
  </si>
  <si>
    <t>TP143</t>
  </si>
  <si>
    <t>TP144</t>
  </si>
  <si>
    <t>TP145</t>
  </si>
  <si>
    <t>TP146</t>
  </si>
  <si>
    <t>TP147</t>
  </si>
  <si>
    <t>TP148</t>
  </si>
  <si>
    <t>TP149</t>
  </si>
  <si>
    <t>TP150</t>
  </si>
  <si>
    <t>TP151</t>
  </si>
  <si>
    <t>TP152</t>
  </si>
  <si>
    <t>TP153</t>
  </si>
  <si>
    <t>TP154</t>
  </si>
  <si>
    <t>TP155</t>
  </si>
  <si>
    <t>TP156</t>
  </si>
  <si>
    <t>TP157</t>
  </si>
  <si>
    <t>TP158</t>
  </si>
  <si>
    <t>TP159</t>
  </si>
  <si>
    <t>TP160</t>
  </si>
  <si>
    <t>TP161</t>
  </si>
  <si>
    <t>TP162</t>
  </si>
  <si>
    <t>TP163</t>
  </si>
  <si>
    <t>TP164</t>
  </si>
  <si>
    <t>TP165</t>
  </si>
  <si>
    <t>TP166</t>
  </si>
  <si>
    <t>TP167</t>
  </si>
  <si>
    <t>TP168</t>
  </si>
  <si>
    <t>TP169</t>
  </si>
  <si>
    <t>TP170</t>
  </si>
  <si>
    <t>TP171</t>
  </si>
  <si>
    <t>Thịt và Sản phẩm chế biến</t>
  </si>
  <si>
    <t>Thịt bê, nạc, tươi</t>
  </si>
  <si>
    <t>85 </t>
  </si>
  <si>
    <t>Thịt bò, loại I, tươi</t>
  </si>
  <si>
    <t>118 </t>
  </si>
  <si>
    <t>Thịt bò, loại II, tươi</t>
  </si>
  <si>
    <t>hịt bồ câu, cả con non (ra ràng), tươi</t>
  </si>
  <si>
    <t>17,5</t>
  </si>
  <si>
    <t>Thịt cừu, nạc, tươi</t>
  </si>
  <si>
    <t>16,4</t>
  </si>
  <si>
    <t>Thịt dê, nạc, tươi</t>
  </si>
  <si>
    <t>20,7</t>
  </si>
  <si>
    <t>Thịt gà rừng, tươi</t>
  </si>
  <si>
    <t>24,4</t>
  </si>
  <si>
    <t>Thịt gà ta, tươi</t>
  </si>
  <si>
    <t>20,3</t>
  </si>
  <si>
    <t>13,1</t>
  </si>
  <si>
    <t>Thịt lợn, mỡ, tươi</t>
  </si>
  <si>
    <t>14,5</t>
  </si>
  <si>
    <t>37,3</t>
  </si>
  <si>
    <t>Thịt lợn, nạc, tươi</t>
  </si>
  <si>
    <t>139 </t>
  </si>
  <si>
    <t>Thịt lợn, nửa nạc, nửa mỡ, tươi</t>
  </si>
  <si>
    <t>16,5</t>
  </si>
  <si>
    <t>21,5</t>
  </si>
  <si>
    <t>Thịt ngỗng, tươi</t>
  </si>
  <si>
    <t>39,2</t>
  </si>
  <si>
    <t>Thịt trâu, tươi</t>
  </si>
  <si>
    <t>Thịt vịt, tươi</t>
  </si>
  <si>
    <t>17,8</t>
  </si>
  <si>
    <t>21,8</t>
  </si>
  <si>
    <t>Ba tê lợn</t>
  </si>
  <si>
    <t>15,4</t>
  </si>
  <si>
    <t>Chả lợn</t>
  </si>
  <si>
    <t>517 </t>
  </si>
  <si>
    <t>50,4</t>
  </si>
  <si>
    <t>5,1</t>
  </si>
  <si>
    <t>Dăm bông lợn</t>
  </si>
  <si>
    <t>Giò bò, chín</t>
  </si>
  <si>
    <t>18,2</t>
  </si>
  <si>
    <t>Giò lụa, chín</t>
  </si>
  <si>
    <t>Lạp xường, lạp sườn</t>
  </si>
  <si>
    <t>Nem chua</t>
  </si>
  <si>
    <t>Thủy sản và Sản phẩm chế biến</t>
  </si>
  <si>
    <t>Cá bống, tươi</t>
  </si>
  <si>
    <t>15,8</t>
  </si>
  <si>
    <t>Cá chép, tươi</t>
  </si>
  <si>
    <t>Cá diếc, tươi</t>
  </si>
  <si>
    <t>Cá hồi, tươi</t>
  </si>
  <si>
    <t>Cá mè, tươi</t>
  </si>
  <si>
    <t>144 </t>
  </si>
  <si>
    <t>Cá ngừ, tươi</t>
  </si>
  <si>
    <t>9,1</t>
  </si>
  <si>
    <t>Cá nục, tươi</t>
  </si>
  <si>
    <t>20,2</t>
  </si>
  <si>
    <t>Cá quả, tươi</t>
  </si>
  <si>
    <t>2,7</t>
  </si>
  <si>
    <t>Cá rô phi, tươi</t>
  </si>
  <si>
    <t>19,7</t>
  </si>
  <si>
    <t>Cá thu, tươi</t>
  </si>
  <si>
    <t>Cá trắm cỏ, tươi</t>
  </si>
  <si>
    <t>Cá trôi, tươi</t>
  </si>
  <si>
    <t>127 </t>
  </si>
  <si>
    <t>18,8</t>
  </si>
  <si>
    <t>5,7</t>
  </si>
  <si>
    <t>Cua bể, tươi</t>
  </si>
  <si>
    <t>Cua đồng, tươi</t>
  </si>
  <si>
    <t>12,3</t>
  </si>
  <si>
    <t>Cua ghẹ, tươi</t>
  </si>
  <si>
    <t>11,9</t>
  </si>
  <si>
    <t>Hải sâm, tươi</t>
  </si>
  <si>
    <t>Hến, tươi</t>
  </si>
  <si>
    <t>4,5</t>
  </si>
  <si>
    <t>Mực khô, sống</t>
  </si>
  <si>
    <t>TP172</t>
  </si>
  <si>
    <t>TP173</t>
  </si>
  <si>
    <t>TP174</t>
  </si>
  <si>
    <t>TP175</t>
  </si>
  <si>
    <t>TP176</t>
  </si>
  <si>
    <t>TP177</t>
  </si>
  <si>
    <t>TP178</t>
  </si>
  <si>
    <t>TP179</t>
  </si>
  <si>
    <t>TP180</t>
  </si>
  <si>
    <t>TP181</t>
  </si>
  <si>
    <t>TP182</t>
  </si>
  <si>
    <t>TP183</t>
  </si>
  <si>
    <t>TP184</t>
  </si>
  <si>
    <t>TP185</t>
  </si>
  <si>
    <t>291 </t>
  </si>
  <si>
    <t>Mực, tươi</t>
  </si>
  <si>
    <t>16,3</t>
  </si>
  <si>
    <t>Ốc nhồi, tươi</t>
  </si>
  <si>
    <t>7,6</t>
  </si>
  <si>
    <t>Ốc vặn, raw</t>
  </si>
  <si>
    <t>Tôm biển, tươi</t>
  </si>
  <si>
    <t>82 </t>
  </si>
  <si>
    <t>Tôm đồng, tươi</t>
  </si>
  <si>
    <t>Tôm biển, khô</t>
  </si>
  <si>
    <t>75,6</t>
  </si>
  <si>
    <t>Ruốc tôm</t>
  </si>
  <si>
    <t>Tép khô, sống</t>
  </si>
  <si>
    <t>59,8</t>
  </si>
  <si>
    <t>65,5</t>
  </si>
  <si>
    <t>Trứng</t>
  </si>
  <si>
    <t>Trứng gà ta</t>
  </si>
  <si>
    <t>172 </t>
  </si>
  <si>
    <t>13,0</t>
  </si>
  <si>
    <t>12,0</t>
  </si>
  <si>
    <t>Trứng chim cút</t>
  </si>
  <si>
    <t>12,7</t>
  </si>
  <si>
    <t>Trứng cá</t>
  </si>
  <si>
    <t>171 </t>
  </si>
  <si>
    <t>20,5</t>
  </si>
  <si>
    <t>Trứng cá muối</t>
  </si>
  <si>
    <t>17,9</t>
  </si>
  <si>
    <t>Trứng vịt lộn</t>
  </si>
  <si>
    <t>13,6</t>
  </si>
  <si>
    <t>12,4</t>
  </si>
  <si>
    <t>TP186</t>
  </si>
  <si>
    <t>TP187</t>
  </si>
  <si>
    <t>TP188</t>
  </si>
  <si>
    <t>TP189</t>
  </si>
  <si>
    <t>TP190</t>
  </si>
  <si>
    <t>TP191</t>
  </si>
  <si>
    <t>TP192</t>
  </si>
  <si>
    <t>TP193</t>
  </si>
  <si>
    <t>TP194</t>
  </si>
  <si>
    <t>Trứng gà công nghiệp</t>
  </si>
  <si>
    <t>132 </t>
  </si>
  <si>
    <t>Sữa bò tươi</t>
  </si>
  <si>
    <t>Sữa dê tươi</t>
  </si>
  <si>
    <t> 69</t>
  </si>
  <si>
    <t>Sữa và Sản phẩm chế biến</t>
  </si>
  <si>
    <t>Phó mát</t>
  </si>
  <si>
    <t>25,5</t>
  </si>
  <si>
    <t>30,9</t>
  </si>
  <si>
    <t>Sữa đặc có đường, Việt Nam</t>
  </si>
  <si>
    <t>8,7</t>
  </si>
  <si>
    <t>54,4</t>
  </si>
  <si>
    <t>Đồ ngọt</t>
  </si>
  <si>
    <t>Kem ngô</t>
  </si>
  <si>
    <t>199 </t>
  </si>
  <si>
    <t>27,6</t>
  </si>
  <si>
    <t>Kem đậu xanh</t>
  </si>
  <si>
    <t>Bánh bông lan</t>
  </si>
  <si>
    <t>29,5</t>
  </si>
  <si>
    <t>50,8</t>
  </si>
  <si>
    <t>Bánh gấu</t>
  </si>
  <si>
    <t xml:space="preserve">475,7 </t>
  </si>
  <si>
    <t>64,8</t>
  </si>
  <si>
    <t>Bánh trứng Custas</t>
  </si>
  <si>
    <t>46,8</t>
  </si>
  <si>
    <t>Đường cát</t>
  </si>
  <si>
    <t>94,6</t>
  </si>
  <si>
    <t>Đường kính</t>
  </si>
  <si>
    <t>99,3</t>
  </si>
  <si>
    <t>Mạch nha</t>
  </si>
  <si>
    <t>82,5</t>
  </si>
  <si>
    <t>Mật ong</t>
  </si>
  <si>
    <t>327 </t>
  </si>
  <si>
    <t>81,3</t>
  </si>
  <si>
    <t>Kẹo cà phê</t>
  </si>
  <si>
    <t>91,5</t>
  </si>
  <si>
    <t>Kẹo cam chanh</t>
  </si>
  <si>
    <t>378 </t>
  </si>
  <si>
    <t>93,4</t>
  </si>
  <si>
    <t>Gừng khô (bột)</t>
  </si>
  <si>
    <t>12,5</t>
  </si>
  <si>
    <t>8,5</t>
  </si>
  <si>
    <t>67,6</t>
  </si>
  <si>
    <t>33,5</t>
  </si>
  <si>
    <t>55,4</t>
  </si>
  <si>
    <t>23,6</t>
  </si>
  <si>
    <t>Riềng</t>
  </si>
  <si>
    <t>Ớt khô bột</t>
  </si>
  <si>
    <t>Magi</t>
  </si>
  <si>
    <t>Nước mắm cá (loại đặc biệt)</t>
  </si>
  <si>
    <t>60 </t>
  </si>
  <si>
    <t>6,3</t>
  </si>
  <si>
    <t>Sốt mayonnaise</t>
  </si>
  <si>
    <t>77,8</t>
  </si>
  <si>
    <t>Bột canh</t>
  </si>
  <si>
    <t xml:space="preserve">62,2 </t>
  </si>
  <si>
    <t>1,0</t>
  </si>
  <si>
    <t>Bột nêm</t>
  </si>
  <si>
    <t>30,1</t>
  </si>
  <si>
    <t>Mỳ chính</t>
  </si>
  <si>
    <t>Giấm ăn</t>
  </si>
  <si>
    <t>21 </t>
  </si>
  <si>
    <t>Nước sốt cà chua</t>
  </si>
  <si>
    <t>27,4</t>
  </si>
  <si>
    <t>Mù tạt</t>
  </si>
  <si>
    <t>Sa tế</t>
  </si>
  <si>
    <t>70 </t>
  </si>
  <si>
    <t>https://prnt.sc/aZEVjG4ubARU</t>
  </si>
  <si>
    <t>Ảnh</t>
  </si>
  <si>
    <t>https://prnt.sc/hNtW6o9CLu3A</t>
  </si>
  <si>
    <t>Gạo, trắng, tẻ, sống</t>
  </si>
  <si>
    <t>https://prnt.sc/GmU5yZrN_9lt</t>
  </si>
  <si>
    <t>https://prnt.sc/XIwWo-Plj3mP</t>
  </si>
  <si>
    <t>https://prnt.sc/Wtk2itmDuZDE</t>
  </si>
  <si>
    <t>https://prnt.sc/xBNK6NfSa7zD</t>
  </si>
  <si>
    <t>https://prnt.sc/qbcWZkW6jtEm</t>
  </si>
  <si>
    <t>https://prnt.sc/IrWDrSoLrsgK</t>
  </si>
  <si>
    <t>https://prnt.sc/IQ86_kuLwo67</t>
  </si>
  <si>
    <t>https://prnt.sc/lBHzi53P0wQn</t>
  </si>
  <si>
    <t>https://prnt.sc/SMh03w6M7xZJ</t>
  </si>
  <si>
    <t>https://prnt.sc/PxVrpJ5SO3Pq</t>
  </si>
  <si>
    <t>https://prnt.sc/PK2U8Jct-JRC</t>
  </si>
  <si>
    <t>https://prnt.sc/DVBRnfxnuBnk</t>
  </si>
  <si>
    <t>https://prnt.sc/XFO85k22BWfu</t>
  </si>
  <si>
    <t>https://prnt.sc/Sg0Vt0wwMXK8</t>
  </si>
  <si>
    <t>https://prnt.sc/0Mgijb5oD0U_</t>
  </si>
  <si>
    <t>https://prnt.sc/z66DLGfoohrb</t>
  </si>
  <si>
    <t>https://prnt.sc/HIuGryRG39jK</t>
  </si>
  <si>
    <t>https://prnt.sc/Bw4GThvcOxf6</t>
  </si>
  <si>
    <t>https://prnt.sc/tH7SreaMFY9e</t>
  </si>
  <si>
    <t>https://prnt.sc/xIBfCERmC5rt</t>
  </si>
  <si>
    <t>https://prnt.sc/-DpkhZP787Af</t>
  </si>
  <si>
    <t>https://prnt.sc/VF0Z-ypmZtYZ</t>
  </si>
  <si>
    <t>https://prnt.sc/DHJB_eQU_GvE</t>
  </si>
  <si>
    <t>https://prnt.sc/g-sb0loqS2rz</t>
  </si>
  <si>
    <t>Hạt dẻ</t>
  </si>
  <si>
    <t>https://prnt.sc/-tdFpmfJZQ1W</t>
  </si>
  <si>
    <t>https://prnt.sc/MgzcuEpz5p3P</t>
  </si>
  <si>
    <t>https://prnt.sc/vsM-6SyqLKRd</t>
  </si>
  <si>
    <t>https://prnt.sc/NQgmpxc_BJvV</t>
  </si>
  <si>
    <t>https://prnt.sc/v8PSM20iw4v4</t>
  </si>
  <si>
    <t>https://prnt.sc/WVG7M7R8c5Lk</t>
  </si>
  <si>
    <t>https://prnt.sc/1cKck9YO9IWp</t>
  </si>
  <si>
    <t>https://prnt.sc/7vYkhaMrbOQp</t>
  </si>
  <si>
    <t>https://prnt.sc/Jgq8jTsxjjlc</t>
  </si>
  <si>
    <t>https://prnt.sc/cGqbJ607QXwz</t>
  </si>
  <si>
    <t>https://prnt.sc/Cz3KcM2awivk</t>
  </si>
  <si>
    <t>https://prnt.sc/cXTaM8dJy1uP</t>
  </si>
  <si>
    <t>https://prnt.sc/PdMQz8JUym1R</t>
  </si>
  <si>
    <t>https://prnt.sc/HSYUEesJMIHv</t>
  </si>
  <si>
    <t>77+F43</t>
  </si>
  <si>
    <t>https://prnt.sc/wZTk_7o9H2E0</t>
  </si>
  <si>
    <t>https://prnt.sc/D_dbKT105lTF</t>
  </si>
  <si>
    <t>https://prnt.sc/mrVa6sVf5jpJ</t>
  </si>
  <si>
    <t>https://prnt.sc/SaM5fG5RlrIP</t>
  </si>
  <si>
    <t>https://prnt.sc/OF0Mo62zDS4P</t>
  </si>
  <si>
    <t>https://prnt.sc/ioJE39kOfHq_</t>
  </si>
  <si>
    <t>https://prnt.sc/wyC3wvp0LbeN</t>
  </si>
  <si>
    <t>1+J50</t>
  </si>
  <si>
    <t>https://prnt.sc/xoXfuWnQ94wh</t>
  </si>
  <si>
    <t>https://prnt.sc/CYbkP9HCqgQG</t>
  </si>
  <si>
    <t>https://prnt.sc/ZpE5gnRyUDqI</t>
  </si>
  <si>
    <t>https://prnt.sc/kLMk098lrCfW</t>
  </si>
  <si>
    <t>Thịt kho tàu nước dừa</t>
  </si>
  <si>
    <t>Thịt xá xíu Quảng Đông</t>
  </si>
  <si>
    <t>Thịt ba chỉ cháy cạnh</t>
  </si>
  <si>
    <t>Sườn non kho tiêu</t>
  </si>
  <si>
    <t>Sườn xào chua ngọt</t>
  </si>
  <si>
    <t>Thịt heo quay kho dưa cải</t>
  </si>
  <si>
    <t>Thịt thăn heo tẩm bột chiên xù</t>
  </si>
  <si>
    <t>Nem nướng Nha Trang</t>
  </si>
  <si>
    <t>Bò kho tiêu xanh</t>
  </si>
  <si>
    <t>Bò sốt vang</t>
  </si>
  <si>
    <t>Bò né hoa thiên lý</t>
  </si>
  <si>
    <t>Bò cuộn nấm kim châm</t>
  </si>
  <si>
    <t>Bò lá lốt nướng</t>
  </si>
  <si>
    <t>Giò thủ / Giò tai heo</t>
  </si>
  <si>
    <t>Canh khổ qua nhồi thịt</t>
  </si>
  <si>
    <t>Gà kho gừng cốt dừa</t>
  </si>
  <si>
    <t>Gà chiên nước mắm</t>
  </si>
  <si>
    <t>Ức gà áp chảo sốt tiêu đen</t>
  </si>
  <si>
    <t>Gà ủ muối hoa tiêu</t>
  </si>
  <si>
    <t>Gà bó xôi chiên giòn</t>
  </si>
  <si>
    <t>Cánh gà nướng mật ong</t>
  </si>
  <si>
    <t>Cà ri gà kiểu miền Tây</t>
  </si>
  <si>
    <t>Vịt kho gừng</t>
  </si>
  <si>
    <t>Vịt quay Bắc Kinh</t>
  </si>
  <si>
    <t>Gỏi gà xé phay bắp cải</t>
  </si>
  <si>
    <t>Cá hú kho tộ</t>
  </si>
  <si>
    <t>Cá bống sông Trà kho tiêu</t>
  </si>
  <si>
    <t>Cá diêu hồng chiên xù</t>
  </si>
  <si>
    <t>Cá hồi sốt chanh dây</t>
  </si>
  <si>
    <t>Cá basa sốt cà chua</t>
  </si>
  <si>
    <t>Tôm ram thịt ba chỉ</t>
  </si>
  <si>
    <t>Mực hấp gừng</t>
  </si>
  <si>
    <t>Mực nhồi thịt sốt cà</t>
  </si>
  <si>
    <t>Chả cá thác lác cuộn khổ qua</t>
  </si>
  <si>
    <t>Tôm sốt hoàng kim (trứng muối)</t>
  </si>
  <si>
    <t>Canh chua cá lóc</t>
  </si>
  <si>
    <t>Canh cua mồng tơi</t>
  </si>
  <si>
    <t>Canh sườn non khoai tây</t>
  </si>
  <si>
    <t>Canh hến nấu chua</t>
  </si>
  <si>
    <t>Cải thìa xào dầu hào</t>
  </si>
  <si>
    <t>Bông cải xanh xào thịt bò</t>
  </si>
  <si>
    <t>Măng tây xào tỏi</t>
  </si>
  <si>
    <t>Cơm chiên hải sản ngũ sắc</t>
  </si>
  <si>
    <t>Nước lẩu riêu cua bắp bò</t>
  </si>
  <si>
    <t>Nước lẩu thái hải sản</t>
  </si>
  <si>
    <t>Bánh xếp phô mai</t>
  </si>
  <si>
    <t>Chân gà sả ớt</t>
  </si>
  <si>
    <t>Nem chua rán</t>
  </si>
  <si>
    <t>Cháo tươi cá hồi cải bó xôi</t>
  </si>
  <si>
    <t>Chè dừa dầm lá dứa</t>
  </si>
  <si>
    <t>Món tráng miệng</t>
  </si>
  <si>
    <t>Khối lượng (g)</t>
  </si>
  <si>
    <t>MN001</t>
  </si>
  <si>
    <t>MN002</t>
  </si>
  <si>
    <t>MN003</t>
  </si>
  <si>
    <t>MN004</t>
  </si>
  <si>
    <t>MN005</t>
  </si>
  <si>
    <t>MN006</t>
  </si>
  <si>
    <t>MN007</t>
  </si>
  <si>
    <t>MN008</t>
  </si>
  <si>
    <t>MN009</t>
  </si>
  <si>
    <t>MN010</t>
  </si>
  <si>
    <t>MN011</t>
  </si>
  <si>
    <t>MN012</t>
  </si>
  <si>
    <t>MN013</t>
  </si>
  <si>
    <t>MN014</t>
  </si>
  <si>
    <t>MN015</t>
  </si>
  <si>
    <t>MN016</t>
  </si>
  <si>
    <t>MN017</t>
  </si>
  <si>
    <t>MN018</t>
  </si>
  <si>
    <t>MN019</t>
  </si>
  <si>
    <t>MN020</t>
  </si>
  <si>
    <t>MN021</t>
  </si>
  <si>
    <t>MN022</t>
  </si>
  <si>
    <t>MN023</t>
  </si>
  <si>
    <t>MN024</t>
  </si>
  <si>
    <t>MN025</t>
  </si>
  <si>
    <t>MN026</t>
  </si>
  <si>
    <t>MN027</t>
  </si>
  <si>
    <t>MN028</t>
  </si>
  <si>
    <t>MN029</t>
  </si>
  <si>
    <t>MN030</t>
  </si>
  <si>
    <t>MN031</t>
  </si>
  <si>
    <t>MN032</t>
  </si>
  <si>
    <t>MN033</t>
  </si>
  <si>
    <t>MN034</t>
  </si>
  <si>
    <t>MN035</t>
  </si>
  <si>
    <t>MN036</t>
  </si>
  <si>
    <t>MN037</t>
  </si>
  <si>
    <t>MN038</t>
  </si>
  <si>
    <t>MN039</t>
  </si>
  <si>
    <t>MN040</t>
  </si>
  <si>
    <t>MN041</t>
  </si>
  <si>
    <t>MN042</t>
  </si>
  <si>
    <t>MN043</t>
  </si>
  <si>
    <t>MN044</t>
  </si>
  <si>
    <t>MN045</t>
  </si>
  <si>
    <t>MN046</t>
  </si>
  <si>
    <t>MN047</t>
  </si>
  <si>
    <t>MN048</t>
  </si>
  <si>
    <t>MN049</t>
  </si>
  <si>
    <t>MN050</t>
  </si>
  <si>
    <t>https://prnt.sc/wQfPAjhANCr3</t>
  </si>
  <si>
    <t>https://prnt.sc/2zX-p2pxjbt3</t>
  </si>
  <si>
    <t>https://prnt.sc/JOtKLNWhBPEH</t>
  </si>
  <si>
    <t>https://prnt.sc/IBADp2X0wyGd</t>
  </si>
  <si>
    <t>https://prnt.sc/C121PE5vmmhq</t>
  </si>
  <si>
    <t>https://prnt.sc/lCvlPHS4tY4j</t>
  </si>
  <si>
    <t>https://prnt.sc/8qHJniDIlm4O</t>
  </si>
  <si>
    <t>https://prnt.sc/Ri-FX34NLodP</t>
  </si>
  <si>
    <t>https://prnt.sc/dsYIufoYOJ-I</t>
  </si>
  <si>
    <t>https://prnt.sc/BeT893fb35eg</t>
  </si>
  <si>
    <t>https://prnt.sc/Qk65tGFrjIl3</t>
  </si>
  <si>
    <t>https://prnt.sc/0IUO0A_BCX6t</t>
  </si>
  <si>
    <t>https://prnt.sc/vOxVE6LrCYcm</t>
  </si>
  <si>
    <t>https://prnt.sc/3s2f22--QDnF</t>
  </si>
  <si>
    <t>https://prnt.sc/OPMzrfQjkkf6</t>
  </si>
  <si>
    <t>https://prnt.sc/xNliZ2FZ0V_W</t>
  </si>
  <si>
    <t>https://prnt.sc/4td7tAJQuKP0</t>
  </si>
  <si>
    <t>https://prnt.sc/b4APPHmYnj3Z</t>
  </si>
  <si>
    <t>https://prnt.sc/VWM1HIwr58c8</t>
  </si>
  <si>
    <t>https://prnt.sc/otY4wMxY0Riu</t>
  </si>
  <si>
    <t>https://prnt.sc/3gEuwnjhYKVo</t>
  </si>
  <si>
    <t>TP002</t>
  </si>
  <si>
    <t>TP015</t>
  </si>
  <si>
    <t>TP016</t>
  </si>
  <si>
    <t>TP017</t>
  </si>
  <si>
    <t>TP018</t>
  </si>
  <si>
    <t>TP019</t>
  </si>
  <si>
    <t>TP021</t>
  </si>
  <si>
    <t>TP022</t>
  </si>
  <si>
    <t>TP023</t>
  </si>
  <si>
    <t>TP024</t>
  </si>
  <si>
    <t>TP025</t>
  </si>
  <si>
    <t>TP028</t>
  </si>
  <si>
    <t>TP031</t>
  </si>
  <si>
    <t>TP037</t>
  </si>
  <si>
    <t>TP038</t>
  </si>
  <si>
    <t>TP039</t>
  </si>
  <si>
    <t>TP042</t>
  </si>
  <si>
    <t>TP043</t>
  </si>
  <si>
    <t>TP045</t>
  </si>
  <si>
    <t>TP046</t>
  </si>
  <si>
    <t>TP050</t>
  </si>
  <si>
    <t>TP052</t>
  </si>
  <si>
    <t>TP055</t>
  </si>
  <si>
    <t>TP057</t>
  </si>
  <si>
    <t>TP071</t>
  </si>
  <si>
    <t>TP076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</si>
</sst>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_(* #,##0.000_);_(* \(#,##0.000\);_(* &quot;-&quot;??_);_(@_)"/>
    <numFmt numFmtId="166" formatCode="#,##0.000"/>
  </numFmts>
  <fonts count="16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sz val="8"/>
      <name val="Calibri"/>
      <family val="2"/>
      <charset val="1"/>
    </font>
    <font>
      <b/>
      <sz val="11"/>
      <name val="Arial"/>
      <family val="2"/>
    </font>
    <font>
      <u/>
      <sz val="11"/>
      <color theme="10"/>
      <name val="Calibri"/>
      <family val="2"/>
      <charset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u/>
      <sz val="11"/>
      <name val="Calibri"/>
      <family val="2"/>
      <charset val="1"/>
    </font>
    <font>
      <u/>
      <sz val="12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1" xfId="0" applyBorder="1"/>
    <xf numFmtId="0" fontId="6" fillId="0" borderId="0" xfId="0" applyFont="1" applyAlignment="1">
      <alignment wrapText="1"/>
    </xf>
    <xf numFmtId="0" fontId="7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6" fillId="0" borderId="0" xfId="0" applyFont="1" applyAlignment="1">
      <alignment horizontal="right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1" fillId="0" borderId="1" xfId="0" applyFont="1" applyBorder="1"/>
    <xf numFmtId="0" fontId="13" fillId="2" borderId="1" xfId="0" applyFont="1" applyFill="1" applyBorder="1" applyAlignment="1">
      <alignment horizontal="center" vertical="center" wrapText="1"/>
    </xf>
    <xf numFmtId="0" fontId="13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3" fontId="0" fillId="0" borderId="1" xfId="0" applyNumberFormat="1" applyBorder="1"/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5" fontId="0" fillId="0" borderId="1" xfId="2" applyNumberFormat="1" applyFont="1" applyBorder="1"/>
    <xf numFmtId="166" fontId="0" fillId="0" borderId="1" xfId="0" applyNumberFormat="1" applyBorder="1"/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166" fontId="0" fillId="0" borderId="1" xfId="0" applyNumberForma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43" fontId="9" fillId="2" borderId="1" xfId="2" applyFont="1" applyFill="1" applyBorder="1" applyAlignment="1">
      <alignment horizontal="center" vertical="center" wrapText="1"/>
    </xf>
    <xf numFmtId="43" fontId="7" fillId="0" borderId="1" xfId="2" applyFont="1" applyBorder="1"/>
    <xf numFmtId="43" fontId="14" fillId="0" borderId="1" xfId="2" applyFont="1" applyBorder="1"/>
    <xf numFmtId="43" fontId="7" fillId="0" borderId="0" xfId="2" applyFont="1"/>
    <xf numFmtId="43" fontId="13" fillId="2" borderId="1" xfId="2" applyFont="1" applyFill="1" applyBorder="1" applyAlignment="1">
      <alignment horizontal="center" vertical="center" wrapText="1"/>
    </xf>
    <xf numFmtId="43" fontId="7" fillId="0" borderId="1" xfId="2" applyFont="1" applyBorder="1" applyAlignment="1">
      <alignment vertical="center"/>
    </xf>
    <xf numFmtId="0" fontId="15" fillId="0" borderId="1" xfId="1" applyFont="1" applyBorder="1" applyAlignment="1">
      <alignment wrapText="1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ao.org/fileadmin/templates/food_composition/documents/pdf/VTN_FCT_2007.pdf" TargetMode="External"/><Relationship Id="rId1" Type="http://schemas.openxmlformats.org/officeDocument/2006/relationships/hyperlink" Target="https://viendinhduong.vn/vi/cong-cu-va-tien-ich/gia-tri-dinh-duong-thuc-pha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prnt.sc/tH7SreaMFY9e" TargetMode="External"/><Relationship Id="rId1" Type="http://schemas.openxmlformats.org/officeDocument/2006/relationships/hyperlink" Target="https://prnt.sc/lBHzi53P0wQ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rnt.sc/Qk65tGFrjI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2050-CA02-428F-AB2E-55F65665B5D1}">
  <dimension ref="A1:B14"/>
  <sheetViews>
    <sheetView tabSelected="1" workbookViewId="0">
      <selection activeCell="B8" sqref="B8"/>
    </sheetView>
  </sheetViews>
  <sheetFormatPr defaultRowHeight="14.5" x14ac:dyDescent="0.35"/>
  <cols>
    <col min="2" max="2" width="68.08984375" customWidth="1"/>
  </cols>
  <sheetData>
    <row r="1" spans="1:2" ht="17.5" x14ac:dyDescent="0.35">
      <c r="A1" s="14" t="s">
        <v>0</v>
      </c>
      <c r="B1" s="14" t="s">
        <v>632</v>
      </c>
    </row>
    <row r="2" spans="1:2" ht="31" x14ac:dyDescent="0.35">
      <c r="A2" s="28">
        <f>ROW()-1</f>
        <v>1</v>
      </c>
      <c r="B2" s="46" t="s">
        <v>633</v>
      </c>
    </row>
    <row r="3" spans="1:2" ht="31" x14ac:dyDescent="0.35">
      <c r="A3" s="28">
        <f t="shared" ref="A3" si="0">ROW()-1</f>
        <v>2</v>
      </c>
      <c r="B3" s="46" t="s">
        <v>634</v>
      </c>
    </row>
    <row r="4" spans="1:2" ht="15.5" x14ac:dyDescent="0.35">
      <c r="A4" s="17"/>
      <c r="B4" s="17"/>
    </row>
    <row r="5" spans="1:2" ht="15.5" x14ac:dyDescent="0.35">
      <c r="A5" s="17"/>
      <c r="B5" s="17"/>
    </row>
    <row r="6" spans="1:2" ht="15.5" x14ac:dyDescent="0.35">
      <c r="A6" s="17"/>
      <c r="B6" s="17"/>
    </row>
    <row r="7" spans="1:2" ht="15.5" x14ac:dyDescent="0.35">
      <c r="A7" s="17"/>
      <c r="B7" s="17"/>
    </row>
    <row r="8" spans="1:2" ht="15.5" x14ac:dyDescent="0.35">
      <c r="A8" s="17"/>
      <c r="B8" s="17"/>
    </row>
    <row r="9" spans="1:2" ht="15.5" x14ac:dyDescent="0.35">
      <c r="A9" s="17"/>
      <c r="B9" s="17"/>
    </row>
    <row r="10" spans="1:2" ht="15.5" x14ac:dyDescent="0.35">
      <c r="A10" s="17"/>
      <c r="B10" s="17"/>
    </row>
    <row r="11" spans="1:2" ht="15.5" x14ac:dyDescent="0.35">
      <c r="A11" s="17"/>
      <c r="B11" s="17"/>
    </row>
    <row r="12" spans="1:2" ht="15.5" x14ac:dyDescent="0.35">
      <c r="A12" s="17"/>
      <c r="B12" s="17"/>
    </row>
    <row r="13" spans="1:2" x14ac:dyDescent="0.35">
      <c r="A13" s="7"/>
      <c r="B13" s="7"/>
    </row>
    <row r="14" spans="1:2" x14ac:dyDescent="0.35">
      <c r="A14" s="7"/>
      <c r="B14" s="7"/>
    </row>
  </sheetData>
  <hyperlinks>
    <hyperlink ref="B2" r:id="rId1" xr:uid="{33FFA858-9147-4513-8385-3E634807C078}"/>
    <hyperlink ref="B3" r:id="rId2" xr:uid="{9734DDC8-8034-43F4-A646-7C8AFA375FA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73EC-B965-47C8-AB4C-5430A9FED844}">
  <dimension ref="A1:L198"/>
  <sheetViews>
    <sheetView topLeftCell="E1" workbookViewId="0">
      <pane ySplit="1" topLeftCell="A2" activePane="bottomLeft" state="frozen"/>
      <selection pane="bottomLeft" activeCell="L14" sqref="L14"/>
    </sheetView>
  </sheetViews>
  <sheetFormatPr defaultRowHeight="15.5" x14ac:dyDescent="0.35"/>
  <cols>
    <col min="1" max="1" width="8.7265625" style="9"/>
    <col min="2" max="2" width="20.6328125" style="9" customWidth="1"/>
    <col min="3" max="3" width="29.6328125" style="9" customWidth="1"/>
    <col min="4" max="4" width="30.26953125" style="9" customWidth="1"/>
    <col min="5" max="5" width="15.7265625" style="11" customWidth="1"/>
    <col min="6" max="6" width="17.7265625" style="11" customWidth="1"/>
    <col min="7" max="8" width="15.453125" style="11" customWidth="1"/>
    <col min="9" max="9" width="20.6328125" style="11" customWidth="1"/>
    <col min="10" max="10" width="12.36328125" style="11" customWidth="1"/>
    <col min="11" max="11" width="13.90625" style="9" customWidth="1"/>
    <col min="12" max="12" width="34.453125" style="43" customWidth="1"/>
    <col min="13" max="16384" width="8.7265625" style="9"/>
  </cols>
  <sheetData>
    <row r="1" spans="1:12" s="16" customFormat="1" ht="30" customHeight="1" x14ac:dyDescent="0.35">
      <c r="A1" s="14" t="s">
        <v>0</v>
      </c>
      <c r="B1" s="14" t="s">
        <v>1</v>
      </c>
      <c r="C1" s="14" t="s">
        <v>2</v>
      </c>
      <c r="D1" s="14" t="s">
        <v>96</v>
      </c>
      <c r="E1" s="14" t="s">
        <v>635</v>
      </c>
      <c r="F1" s="14" t="s">
        <v>3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40" t="s">
        <v>1169</v>
      </c>
    </row>
    <row r="2" spans="1:12" x14ac:dyDescent="0.35">
      <c r="A2" s="20">
        <f>ROW()-1</f>
        <v>1</v>
      </c>
      <c r="B2" s="10" t="s">
        <v>10</v>
      </c>
      <c r="C2" s="20" t="s">
        <v>620</v>
      </c>
      <c r="D2" s="20" t="s">
        <v>700</v>
      </c>
      <c r="E2" s="21">
        <v>100</v>
      </c>
      <c r="F2" s="21">
        <v>348</v>
      </c>
      <c r="G2" s="21" t="s">
        <v>636</v>
      </c>
      <c r="H2" s="21" t="s">
        <v>624</v>
      </c>
      <c r="I2" s="21" t="s">
        <v>629</v>
      </c>
      <c r="J2" s="21" t="s">
        <v>637</v>
      </c>
      <c r="K2" s="22">
        <v>3500</v>
      </c>
      <c r="L2" s="41" t="s">
        <v>1168</v>
      </c>
    </row>
    <row r="3" spans="1:12" x14ac:dyDescent="0.35">
      <c r="A3" s="20">
        <f t="shared" ref="A3:A33" si="0">ROW()-1</f>
        <v>2</v>
      </c>
      <c r="B3" s="10" t="s">
        <v>1347</v>
      </c>
      <c r="C3" s="20" t="s">
        <v>1171</v>
      </c>
      <c r="D3" s="20" t="s">
        <v>700</v>
      </c>
      <c r="E3" s="21">
        <v>100</v>
      </c>
      <c r="F3" s="21">
        <v>346</v>
      </c>
      <c r="G3" s="21" t="s">
        <v>644</v>
      </c>
      <c r="H3" s="21">
        <v>1</v>
      </c>
      <c r="I3" s="21" t="s">
        <v>645</v>
      </c>
      <c r="J3" s="21" t="s">
        <v>630</v>
      </c>
      <c r="K3" s="22">
        <v>2000</v>
      </c>
      <c r="L3" s="41" t="s">
        <v>1170</v>
      </c>
    </row>
    <row r="4" spans="1:12" x14ac:dyDescent="0.35">
      <c r="A4" s="20">
        <f t="shared" si="0"/>
        <v>3</v>
      </c>
      <c r="B4" s="10" t="s">
        <v>12</v>
      </c>
      <c r="C4" s="20" t="s">
        <v>11</v>
      </c>
      <c r="D4" s="20" t="s">
        <v>700</v>
      </c>
      <c r="E4" s="21">
        <v>100</v>
      </c>
      <c r="F4" s="21" t="s">
        <v>647</v>
      </c>
      <c r="G4" s="21" t="s">
        <v>646</v>
      </c>
      <c r="H4" s="21" t="s">
        <v>648</v>
      </c>
      <c r="I4" s="21" t="s">
        <v>649</v>
      </c>
      <c r="J4" s="21" t="s">
        <v>522</v>
      </c>
      <c r="K4" s="22">
        <v>4000</v>
      </c>
      <c r="L4" s="41" t="s">
        <v>1172</v>
      </c>
    </row>
    <row r="5" spans="1:12" x14ac:dyDescent="0.35">
      <c r="A5" s="20">
        <f t="shared" si="0"/>
        <v>4</v>
      </c>
      <c r="B5" s="10" t="s">
        <v>13</v>
      </c>
      <c r="C5" s="20" t="s">
        <v>650</v>
      </c>
      <c r="D5" s="20" t="s">
        <v>700</v>
      </c>
      <c r="E5" s="21">
        <v>100</v>
      </c>
      <c r="F5" s="21">
        <v>345</v>
      </c>
      <c r="G5" s="21">
        <v>7</v>
      </c>
      <c r="H5" s="21">
        <v>3</v>
      </c>
      <c r="I5" s="21" t="s">
        <v>651</v>
      </c>
      <c r="J5" s="21" t="s">
        <v>522</v>
      </c>
      <c r="K5" s="22">
        <v>6000</v>
      </c>
      <c r="L5" s="41" t="s">
        <v>1173</v>
      </c>
    </row>
    <row r="6" spans="1:12" x14ac:dyDescent="0.35">
      <c r="A6" s="20">
        <f t="shared" si="0"/>
        <v>5</v>
      </c>
      <c r="B6" s="10" t="s">
        <v>14</v>
      </c>
      <c r="C6" s="20" t="s">
        <v>652</v>
      </c>
      <c r="D6" s="20" t="s">
        <v>700</v>
      </c>
      <c r="E6" s="21">
        <v>100</v>
      </c>
      <c r="F6" s="21">
        <v>200</v>
      </c>
      <c r="G6" s="21" t="s">
        <v>498</v>
      </c>
      <c r="H6" s="21" t="s">
        <v>653</v>
      </c>
      <c r="I6" s="21" t="s">
        <v>654</v>
      </c>
      <c r="J6" s="21" t="s">
        <v>655</v>
      </c>
      <c r="K6" s="22">
        <v>2500</v>
      </c>
      <c r="L6" s="41" t="s">
        <v>1174</v>
      </c>
    </row>
    <row r="7" spans="1:12" x14ac:dyDescent="0.35">
      <c r="A7" s="20">
        <f t="shared" si="0"/>
        <v>6</v>
      </c>
      <c r="B7" s="10" t="s">
        <v>15</v>
      </c>
      <c r="C7" s="20" t="s">
        <v>670</v>
      </c>
      <c r="D7" s="20" t="s">
        <v>700</v>
      </c>
      <c r="E7" s="21">
        <v>100</v>
      </c>
      <c r="F7" s="21">
        <v>365</v>
      </c>
      <c r="G7" s="21" t="s">
        <v>671</v>
      </c>
      <c r="H7" s="21" t="s">
        <v>639</v>
      </c>
      <c r="I7" s="21" t="s">
        <v>662</v>
      </c>
      <c r="J7" s="21" t="s">
        <v>637</v>
      </c>
      <c r="K7" s="22">
        <v>3500</v>
      </c>
      <c r="L7" s="41" t="s">
        <v>1175</v>
      </c>
    </row>
    <row r="8" spans="1:12" x14ac:dyDescent="0.35">
      <c r="A8" s="20">
        <f t="shared" si="0"/>
        <v>7</v>
      </c>
      <c r="B8" s="10" t="s">
        <v>16</v>
      </c>
      <c r="C8" s="20" t="s">
        <v>675</v>
      </c>
      <c r="D8" s="20" t="s">
        <v>700</v>
      </c>
      <c r="E8" s="21">
        <v>100</v>
      </c>
      <c r="F8" s="21">
        <v>360</v>
      </c>
      <c r="G8" s="21" t="s">
        <v>676</v>
      </c>
      <c r="H8" s="21" t="s">
        <v>630</v>
      </c>
      <c r="I8" s="21" t="s">
        <v>631</v>
      </c>
      <c r="J8" s="21" t="s">
        <v>630</v>
      </c>
      <c r="K8" s="22">
        <v>3000</v>
      </c>
      <c r="L8" s="41" t="s">
        <v>1176</v>
      </c>
    </row>
    <row r="9" spans="1:12" x14ac:dyDescent="0.35">
      <c r="A9" s="20">
        <f t="shared" si="0"/>
        <v>8</v>
      </c>
      <c r="B9" s="10" t="s">
        <v>17</v>
      </c>
      <c r="C9" s="20" t="s">
        <v>677</v>
      </c>
      <c r="D9" s="20" t="s">
        <v>700</v>
      </c>
      <c r="E9" s="21">
        <v>100</v>
      </c>
      <c r="F9" s="21">
        <v>347</v>
      </c>
      <c r="G9" s="21">
        <v>11</v>
      </c>
      <c r="H9" s="23" t="s">
        <v>678</v>
      </c>
      <c r="I9" s="21" t="s">
        <v>679</v>
      </c>
      <c r="J9" s="24" t="s">
        <v>664</v>
      </c>
      <c r="K9" s="22">
        <v>2500</v>
      </c>
      <c r="L9" s="41" t="s">
        <v>1177</v>
      </c>
    </row>
    <row r="10" spans="1:12" x14ac:dyDescent="0.35">
      <c r="A10" s="20">
        <f t="shared" si="0"/>
        <v>9</v>
      </c>
      <c r="B10" s="10" t="s">
        <v>18</v>
      </c>
      <c r="C10" s="20" t="s">
        <v>680</v>
      </c>
      <c r="D10" s="20" t="s">
        <v>700</v>
      </c>
      <c r="E10" s="21">
        <v>100</v>
      </c>
      <c r="F10" s="21">
        <v>367</v>
      </c>
      <c r="G10" s="21" t="s">
        <v>681</v>
      </c>
      <c r="H10" s="21">
        <v>4</v>
      </c>
      <c r="I10" s="21" t="s">
        <v>682</v>
      </c>
      <c r="J10" s="21" t="s">
        <v>683</v>
      </c>
      <c r="K10" s="22">
        <v>4000</v>
      </c>
      <c r="L10" s="41" t="s">
        <v>1178</v>
      </c>
    </row>
    <row r="11" spans="1:12" x14ac:dyDescent="0.35">
      <c r="A11" s="20">
        <f t="shared" si="0"/>
        <v>10</v>
      </c>
      <c r="B11" s="10" t="s">
        <v>19</v>
      </c>
      <c r="C11" s="20" t="s">
        <v>687</v>
      </c>
      <c r="D11" s="20" t="s">
        <v>700</v>
      </c>
      <c r="E11" s="21">
        <v>100</v>
      </c>
      <c r="F11" s="21" t="s">
        <v>688</v>
      </c>
      <c r="G11" s="21" t="s">
        <v>622</v>
      </c>
      <c r="H11" s="21" t="s">
        <v>685</v>
      </c>
      <c r="I11" s="21" t="s">
        <v>689</v>
      </c>
      <c r="J11" s="21" t="s">
        <v>637</v>
      </c>
      <c r="K11" s="22">
        <v>25000</v>
      </c>
      <c r="L11" s="42" t="s">
        <v>1179</v>
      </c>
    </row>
    <row r="12" spans="1:12" x14ac:dyDescent="0.35">
      <c r="A12" s="20">
        <f t="shared" si="0"/>
        <v>11</v>
      </c>
      <c r="B12" s="10" t="s">
        <v>20</v>
      </c>
      <c r="C12" s="20" t="s">
        <v>695</v>
      </c>
      <c r="D12" s="20" t="s">
        <v>700</v>
      </c>
      <c r="E12" s="21">
        <v>100</v>
      </c>
      <c r="F12" s="21">
        <v>347</v>
      </c>
      <c r="G12" s="21" t="s">
        <v>696</v>
      </c>
      <c r="H12" s="21">
        <v>0</v>
      </c>
      <c r="I12" s="21" t="s">
        <v>697</v>
      </c>
      <c r="J12" s="21" t="s">
        <v>624</v>
      </c>
      <c r="K12" s="22">
        <v>5000</v>
      </c>
      <c r="L12" s="41" t="s">
        <v>1180</v>
      </c>
    </row>
    <row r="13" spans="1:12" x14ac:dyDescent="0.35">
      <c r="A13" s="20">
        <f t="shared" si="0"/>
        <v>12</v>
      </c>
      <c r="B13" s="10" t="s">
        <v>21</v>
      </c>
      <c r="C13" s="20" t="s">
        <v>699</v>
      </c>
      <c r="D13" s="20" t="s">
        <v>700</v>
      </c>
      <c r="E13" s="21">
        <v>100</v>
      </c>
      <c r="F13" s="21">
        <v>364</v>
      </c>
      <c r="G13" s="21" t="s">
        <v>636</v>
      </c>
      <c r="H13" s="21" t="s">
        <v>624</v>
      </c>
      <c r="I13" s="21" t="s">
        <v>629</v>
      </c>
      <c r="J13" s="21" t="s">
        <v>637</v>
      </c>
      <c r="K13" s="22">
        <v>8000</v>
      </c>
      <c r="L13" s="41" t="s">
        <v>1181</v>
      </c>
    </row>
    <row r="14" spans="1:12" x14ac:dyDescent="0.35">
      <c r="A14" s="20">
        <f t="shared" si="0"/>
        <v>13</v>
      </c>
      <c r="B14" s="10" t="s">
        <v>22</v>
      </c>
      <c r="C14" s="20" t="s">
        <v>656</v>
      </c>
      <c r="D14" s="20" t="s">
        <v>700</v>
      </c>
      <c r="E14" s="21">
        <v>100</v>
      </c>
      <c r="F14" s="21">
        <v>276</v>
      </c>
      <c r="G14" s="21" t="s">
        <v>657</v>
      </c>
      <c r="H14" s="21" t="s">
        <v>659</v>
      </c>
      <c r="I14" s="21" t="s">
        <v>660</v>
      </c>
      <c r="J14" s="21" t="s">
        <v>640</v>
      </c>
      <c r="K14" s="22">
        <v>12000</v>
      </c>
      <c r="L14" s="41" t="s">
        <v>1182</v>
      </c>
    </row>
    <row r="15" spans="1:12" x14ac:dyDescent="0.35">
      <c r="A15" s="20">
        <f t="shared" si="0"/>
        <v>14</v>
      </c>
      <c r="B15" s="10" t="s">
        <v>1348</v>
      </c>
      <c r="C15" s="20" t="s">
        <v>684</v>
      </c>
      <c r="D15" s="20" t="s">
        <v>700</v>
      </c>
      <c r="E15" s="21">
        <v>100</v>
      </c>
      <c r="F15" s="21">
        <v>116</v>
      </c>
      <c r="G15" s="21" t="s">
        <v>685</v>
      </c>
      <c r="H15" s="21" t="s">
        <v>663</v>
      </c>
      <c r="I15" s="21" t="s">
        <v>686</v>
      </c>
      <c r="J15" s="21" t="s">
        <v>640</v>
      </c>
      <c r="K15" s="22">
        <v>1500</v>
      </c>
      <c r="L15" s="41" t="s">
        <v>1183</v>
      </c>
    </row>
    <row r="16" spans="1:12" x14ac:dyDescent="0.35">
      <c r="A16" s="20">
        <f t="shared" si="0"/>
        <v>15</v>
      </c>
      <c r="B16" s="10" t="s">
        <v>1349</v>
      </c>
      <c r="C16" s="20" t="s">
        <v>702</v>
      </c>
      <c r="D16" s="20" t="s">
        <v>701</v>
      </c>
      <c r="E16" s="21">
        <v>100</v>
      </c>
      <c r="F16" s="21">
        <v>119</v>
      </c>
      <c r="G16" s="21" t="s">
        <v>628</v>
      </c>
      <c r="H16" s="21" t="s">
        <v>640</v>
      </c>
      <c r="I16" s="21">
        <v>25</v>
      </c>
      <c r="J16" s="21">
        <v>1</v>
      </c>
      <c r="K16" s="22">
        <v>4000</v>
      </c>
      <c r="L16" s="41" t="s">
        <v>1184</v>
      </c>
    </row>
    <row r="17" spans="1:12" x14ac:dyDescent="0.35">
      <c r="A17" s="20">
        <f t="shared" si="0"/>
        <v>16</v>
      </c>
      <c r="B17" s="10" t="s">
        <v>1350</v>
      </c>
      <c r="C17" s="20" t="s">
        <v>703</v>
      </c>
      <c r="D17" s="20" t="s">
        <v>701</v>
      </c>
      <c r="E17" s="21">
        <v>100</v>
      </c>
      <c r="F17" s="21">
        <v>129</v>
      </c>
      <c r="G17" s="21" t="s">
        <v>698</v>
      </c>
      <c r="H17" s="21">
        <v>0</v>
      </c>
      <c r="I17" s="21" t="s">
        <v>669</v>
      </c>
      <c r="J17" s="21" t="s">
        <v>704</v>
      </c>
      <c r="K17" s="22">
        <v>3000</v>
      </c>
      <c r="L17" s="41" t="s">
        <v>1185</v>
      </c>
    </row>
    <row r="18" spans="1:12" x14ac:dyDescent="0.35">
      <c r="A18" s="20">
        <f t="shared" si="0"/>
        <v>17</v>
      </c>
      <c r="B18" s="10" t="s">
        <v>1351</v>
      </c>
      <c r="C18" s="20" t="s">
        <v>706</v>
      </c>
      <c r="D18" s="20" t="s">
        <v>701</v>
      </c>
      <c r="E18" s="21">
        <v>100</v>
      </c>
      <c r="F18" s="21" t="s">
        <v>707</v>
      </c>
      <c r="G18" s="21" t="s">
        <v>666</v>
      </c>
      <c r="H18" s="21" t="s">
        <v>661</v>
      </c>
      <c r="I18" s="21" t="s">
        <v>708</v>
      </c>
      <c r="J18" s="21" t="s">
        <v>642</v>
      </c>
      <c r="K18" s="22">
        <v>2500</v>
      </c>
      <c r="L18" s="41" t="s">
        <v>1186</v>
      </c>
    </row>
    <row r="19" spans="1:12" x14ac:dyDescent="0.35">
      <c r="A19" s="20">
        <f t="shared" si="0"/>
        <v>18</v>
      </c>
      <c r="B19" s="10" t="s">
        <v>1352</v>
      </c>
      <c r="C19" s="20" t="s">
        <v>712</v>
      </c>
      <c r="D19" s="20" t="s">
        <v>701</v>
      </c>
      <c r="E19" s="21">
        <v>100</v>
      </c>
      <c r="F19" s="21" t="s">
        <v>713</v>
      </c>
      <c r="G19" s="21" t="s">
        <v>714</v>
      </c>
      <c r="H19" s="21" t="s">
        <v>665</v>
      </c>
      <c r="I19" s="21" t="s">
        <v>715</v>
      </c>
      <c r="J19" s="21" t="s">
        <v>655</v>
      </c>
      <c r="K19" s="22">
        <v>3500</v>
      </c>
      <c r="L19" s="41" t="s">
        <v>1187</v>
      </c>
    </row>
    <row r="20" spans="1:12" x14ac:dyDescent="0.35">
      <c r="A20" s="20">
        <f t="shared" si="0"/>
        <v>19</v>
      </c>
      <c r="B20" s="10" t="s">
        <v>23</v>
      </c>
      <c r="C20" s="20" t="s">
        <v>717</v>
      </c>
      <c r="D20" s="20" t="s">
        <v>701</v>
      </c>
      <c r="E20" s="21">
        <v>100</v>
      </c>
      <c r="F20" s="21" t="s">
        <v>718</v>
      </c>
      <c r="G20" s="21">
        <v>2</v>
      </c>
      <c r="H20" s="21">
        <v>0</v>
      </c>
      <c r="I20" s="21" t="s">
        <v>719</v>
      </c>
      <c r="J20" s="21">
        <v>1</v>
      </c>
      <c r="K20" s="22">
        <v>3000</v>
      </c>
      <c r="L20" s="41" t="s">
        <v>1188</v>
      </c>
    </row>
    <row r="21" spans="1:12" x14ac:dyDescent="0.35">
      <c r="A21" s="20">
        <f t="shared" si="0"/>
        <v>20</v>
      </c>
      <c r="B21" s="10" t="s">
        <v>1353</v>
      </c>
      <c r="C21" s="20" t="s">
        <v>720</v>
      </c>
      <c r="D21" s="20" t="s">
        <v>701</v>
      </c>
      <c r="E21" s="21">
        <v>100</v>
      </c>
      <c r="F21" s="21" t="s">
        <v>721</v>
      </c>
      <c r="G21" s="21" t="s">
        <v>637</v>
      </c>
      <c r="H21" s="21" t="s">
        <v>665</v>
      </c>
      <c r="I21" s="21" t="s">
        <v>722</v>
      </c>
      <c r="J21" s="21" t="s">
        <v>624</v>
      </c>
      <c r="K21" s="22">
        <v>7000</v>
      </c>
      <c r="L21" s="41" t="s">
        <v>1189</v>
      </c>
    </row>
    <row r="22" spans="1:12" x14ac:dyDescent="0.35">
      <c r="A22" s="20">
        <f t="shared" si="0"/>
        <v>21</v>
      </c>
      <c r="B22" s="10" t="s">
        <v>1354</v>
      </c>
      <c r="C22" s="20" t="s">
        <v>723</v>
      </c>
      <c r="D22" s="20" t="s">
        <v>701</v>
      </c>
      <c r="E22" s="21">
        <v>100</v>
      </c>
      <c r="F22" s="21">
        <v>341</v>
      </c>
      <c r="G22" s="21" t="s">
        <v>690</v>
      </c>
      <c r="H22" s="21" t="s">
        <v>640</v>
      </c>
      <c r="I22" s="21" t="s">
        <v>724</v>
      </c>
      <c r="J22" s="21" t="s">
        <v>639</v>
      </c>
      <c r="K22" s="22">
        <v>6000</v>
      </c>
      <c r="L22" s="42" t="s">
        <v>1192</v>
      </c>
    </row>
    <row r="23" spans="1:12" x14ac:dyDescent="0.35">
      <c r="A23" s="20">
        <f t="shared" si="0"/>
        <v>22</v>
      </c>
      <c r="B23" s="10" t="s">
        <v>1355</v>
      </c>
      <c r="C23" s="20" t="s">
        <v>725</v>
      </c>
      <c r="D23" s="20" t="s">
        <v>701</v>
      </c>
      <c r="E23" s="21">
        <v>100</v>
      </c>
      <c r="F23" s="21" t="s">
        <v>726</v>
      </c>
      <c r="G23" s="21" t="s">
        <v>639</v>
      </c>
      <c r="H23" s="21" t="s">
        <v>665</v>
      </c>
      <c r="I23" s="21" t="s">
        <v>727</v>
      </c>
      <c r="J23" s="21" t="s">
        <v>672</v>
      </c>
      <c r="K23" s="22">
        <v>3000</v>
      </c>
      <c r="L23" s="42" t="s">
        <v>1190</v>
      </c>
    </row>
    <row r="24" spans="1:12" x14ac:dyDescent="0.35">
      <c r="A24" s="20">
        <f t="shared" si="0"/>
        <v>23</v>
      </c>
      <c r="B24" s="10" t="s">
        <v>1356</v>
      </c>
      <c r="C24" s="20" t="s">
        <v>729</v>
      </c>
      <c r="D24" s="20" t="s">
        <v>701</v>
      </c>
      <c r="E24" s="21">
        <v>100</v>
      </c>
      <c r="F24" s="21">
        <v>343</v>
      </c>
      <c r="G24" s="21" t="s">
        <v>643</v>
      </c>
      <c r="H24" s="21">
        <v>0</v>
      </c>
      <c r="I24" s="21" t="s">
        <v>730</v>
      </c>
      <c r="J24" s="21" t="s">
        <v>666</v>
      </c>
      <c r="K24" s="22">
        <v>18000</v>
      </c>
      <c r="L24" s="41" t="s">
        <v>1191</v>
      </c>
    </row>
    <row r="25" spans="1:12" x14ac:dyDescent="0.35">
      <c r="A25" s="20">
        <f t="shared" si="0"/>
        <v>24</v>
      </c>
      <c r="B25" s="10" t="s">
        <v>1357</v>
      </c>
      <c r="C25" s="20" t="s">
        <v>734</v>
      </c>
      <c r="D25" s="20" t="s">
        <v>731</v>
      </c>
      <c r="E25" s="21">
        <v>100</v>
      </c>
      <c r="F25" s="21" t="s">
        <v>735</v>
      </c>
      <c r="G25" s="25" t="s">
        <v>481</v>
      </c>
      <c r="H25" s="25" t="s">
        <v>685</v>
      </c>
      <c r="I25" s="21" t="s">
        <v>694</v>
      </c>
      <c r="J25" s="21" t="s">
        <v>481</v>
      </c>
      <c r="K25" s="22">
        <v>6000</v>
      </c>
      <c r="L25" s="41" t="s">
        <v>1193</v>
      </c>
    </row>
    <row r="26" spans="1:12" x14ac:dyDescent="0.35">
      <c r="A26" s="20">
        <f t="shared" si="0"/>
        <v>25</v>
      </c>
      <c r="B26" s="10" t="s">
        <v>24</v>
      </c>
      <c r="C26" s="20" t="s">
        <v>736</v>
      </c>
      <c r="D26" s="20" t="s">
        <v>731</v>
      </c>
      <c r="E26" s="21">
        <v>100</v>
      </c>
      <c r="F26" s="21" t="s">
        <v>737</v>
      </c>
      <c r="G26" s="21" t="s">
        <v>738</v>
      </c>
      <c r="H26" s="21" t="s">
        <v>685</v>
      </c>
      <c r="I26" s="21" t="s">
        <v>739</v>
      </c>
      <c r="J26" s="21">
        <v>4</v>
      </c>
      <c r="K26" s="22">
        <v>6000</v>
      </c>
      <c r="L26" s="41" t="s">
        <v>1194</v>
      </c>
    </row>
    <row r="27" spans="1:12" x14ac:dyDescent="0.35">
      <c r="A27" s="20">
        <f t="shared" si="0"/>
        <v>26</v>
      </c>
      <c r="B27" s="10" t="s">
        <v>25</v>
      </c>
      <c r="C27" s="20" t="s">
        <v>742</v>
      </c>
      <c r="D27" s="20" t="s">
        <v>731</v>
      </c>
      <c r="E27" s="21">
        <v>100</v>
      </c>
      <c r="F27" s="21">
        <v>346</v>
      </c>
      <c r="G27" s="21" t="s">
        <v>743</v>
      </c>
      <c r="H27" s="21" t="s">
        <v>704</v>
      </c>
      <c r="I27" s="21" t="s">
        <v>744</v>
      </c>
      <c r="J27" s="21" t="s">
        <v>745</v>
      </c>
      <c r="K27" s="22">
        <v>6000</v>
      </c>
      <c r="L27" s="41" t="s">
        <v>1195</v>
      </c>
    </row>
    <row r="28" spans="1:12" x14ac:dyDescent="0.35">
      <c r="A28" s="20">
        <f t="shared" si="0"/>
        <v>27</v>
      </c>
      <c r="B28" s="10" t="s">
        <v>1358</v>
      </c>
      <c r="C28" s="20" t="s">
        <v>1196</v>
      </c>
      <c r="D28" s="20" t="s">
        <v>731</v>
      </c>
      <c r="E28" s="21">
        <v>100</v>
      </c>
      <c r="F28" s="21" t="s">
        <v>747</v>
      </c>
      <c r="G28" s="21" t="s">
        <v>668</v>
      </c>
      <c r="H28" s="21" t="s">
        <v>714</v>
      </c>
      <c r="I28" s="21" t="s">
        <v>748</v>
      </c>
      <c r="J28" s="21">
        <v>0</v>
      </c>
      <c r="K28" s="22">
        <v>12000</v>
      </c>
      <c r="L28" s="41" t="s">
        <v>1197</v>
      </c>
    </row>
    <row r="29" spans="1:12" x14ac:dyDescent="0.35">
      <c r="A29" s="20">
        <f t="shared" si="0"/>
        <v>28</v>
      </c>
      <c r="B29" s="10" t="s">
        <v>26</v>
      </c>
      <c r="C29" s="20" t="s">
        <v>749</v>
      </c>
      <c r="D29" s="20" t="s">
        <v>731</v>
      </c>
      <c r="E29" s="21">
        <v>100</v>
      </c>
      <c r="F29" s="21">
        <v>608</v>
      </c>
      <c r="G29" s="21" t="s">
        <v>750</v>
      </c>
      <c r="H29" s="21" t="s">
        <v>751</v>
      </c>
      <c r="I29" s="21" t="s">
        <v>752</v>
      </c>
      <c r="J29" s="21" t="s">
        <v>637</v>
      </c>
      <c r="K29" s="22">
        <v>28000</v>
      </c>
      <c r="L29" s="41" t="s">
        <v>1198</v>
      </c>
    </row>
    <row r="30" spans="1:12" x14ac:dyDescent="0.35">
      <c r="A30" s="20">
        <f t="shared" si="0"/>
        <v>29</v>
      </c>
      <c r="B30" s="10" t="s">
        <v>27</v>
      </c>
      <c r="C30" s="20" t="s">
        <v>753</v>
      </c>
      <c r="D30" s="20" t="s">
        <v>731</v>
      </c>
      <c r="E30" s="21">
        <v>100</v>
      </c>
      <c r="F30" s="21">
        <v>583</v>
      </c>
      <c r="G30" s="21" t="s">
        <v>754</v>
      </c>
      <c r="H30" s="21" t="s">
        <v>755</v>
      </c>
      <c r="I30" s="21">
        <v>18</v>
      </c>
      <c r="J30" s="21" t="s">
        <v>756</v>
      </c>
      <c r="K30" s="22">
        <v>7000</v>
      </c>
      <c r="L30" s="41" t="s">
        <v>1199</v>
      </c>
    </row>
    <row r="31" spans="1:12" x14ac:dyDescent="0.35">
      <c r="A31" s="20">
        <f t="shared" si="0"/>
        <v>30</v>
      </c>
      <c r="B31" s="10" t="s">
        <v>1359</v>
      </c>
      <c r="C31" s="20" t="s">
        <v>757</v>
      </c>
      <c r="D31" s="20" t="s">
        <v>731</v>
      </c>
      <c r="E31" s="21">
        <v>100</v>
      </c>
      <c r="F31" s="21" t="s">
        <v>758</v>
      </c>
      <c r="G31" s="21" t="s">
        <v>759</v>
      </c>
      <c r="H31" s="21" t="s">
        <v>760</v>
      </c>
      <c r="I31" s="21" t="s">
        <v>761</v>
      </c>
      <c r="J31" s="21" t="s">
        <v>481</v>
      </c>
      <c r="K31" s="22">
        <v>10000</v>
      </c>
      <c r="L31" s="41" t="s">
        <v>1200</v>
      </c>
    </row>
    <row r="32" spans="1:12" x14ac:dyDescent="0.35">
      <c r="A32" s="20">
        <f t="shared" si="0"/>
        <v>31</v>
      </c>
      <c r="B32" s="10" t="s">
        <v>28</v>
      </c>
      <c r="C32" s="20" t="s">
        <v>762</v>
      </c>
      <c r="D32" s="20" t="s">
        <v>731</v>
      </c>
      <c r="E32" s="21">
        <v>100</v>
      </c>
      <c r="F32" s="21" t="s">
        <v>747</v>
      </c>
      <c r="G32" s="21" t="s">
        <v>763</v>
      </c>
      <c r="H32" s="21" t="s">
        <v>756</v>
      </c>
      <c r="I32" s="21" t="s">
        <v>658</v>
      </c>
      <c r="J32" s="21" t="s">
        <v>621</v>
      </c>
      <c r="K32" s="22">
        <v>9000</v>
      </c>
      <c r="L32" s="41" t="s">
        <v>1201</v>
      </c>
    </row>
    <row r="33" spans="1:12" x14ac:dyDescent="0.35">
      <c r="A33" s="20">
        <f t="shared" si="0"/>
        <v>32</v>
      </c>
      <c r="B33" s="10" t="s">
        <v>29</v>
      </c>
      <c r="C33" s="20" t="s">
        <v>764</v>
      </c>
      <c r="D33" s="20" t="s">
        <v>731</v>
      </c>
      <c r="E33" s="21">
        <v>100</v>
      </c>
      <c r="F33" s="21" t="s">
        <v>765</v>
      </c>
      <c r="G33" s="21" t="s">
        <v>766</v>
      </c>
      <c r="H33" s="21" t="s">
        <v>767</v>
      </c>
      <c r="I33" s="21" t="s">
        <v>678</v>
      </c>
      <c r="J33" s="21" t="s">
        <v>630</v>
      </c>
      <c r="K33" s="22">
        <v>3000</v>
      </c>
      <c r="L33" s="41" t="s">
        <v>1202</v>
      </c>
    </row>
    <row r="34" spans="1:12" x14ac:dyDescent="0.35">
      <c r="A34" s="20">
        <f t="shared" ref="A34:A94" si="1">ROW()-1</f>
        <v>33</v>
      </c>
      <c r="B34" s="10" t="s">
        <v>30</v>
      </c>
      <c r="C34" s="20" t="s">
        <v>768</v>
      </c>
      <c r="D34" s="20" t="s">
        <v>731</v>
      </c>
      <c r="E34" s="21">
        <v>100</v>
      </c>
      <c r="F34" s="21" t="s">
        <v>769</v>
      </c>
      <c r="G34" s="21" t="s">
        <v>770</v>
      </c>
      <c r="H34" s="21" t="s">
        <v>771</v>
      </c>
      <c r="I34" s="21" t="s">
        <v>686</v>
      </c>
      <c r="J34" s="21" t="s">
        <v>686</v>
      </c>
      <c r="K34" s="22">
        <v>16000</v>
      </c>
      <c r="L34" s="41" t="s">
        <v>1203</v>
      </c>
    </row>
    <row r="35" spans="1:12" x14ac:dyDescent="0.35">
      <c r="A35" s="20">
        <f t="shared" si="1"/>
        <v>34</v>
      </c>
      <c r="B35" s="10" t="s">
        <v>31</v>
      </c>
      <c r="C35" s="20" t="s">
        <v>773</v>
      </c>
      <c r="D35" s="20" t="s">
        <v>731</v>
      </c>
      <c r="E35" s="21">
        <v>100</v>
      </c>
      <c r="F35" s="21" t="s">
        <v>746</v>
      </c>
      <c r="G35" s="21" t="s">
        <v>501</v>
      </c>
      <c r="H35" s="21" t="s">
        <v>774</v>
      </c>
      <c r="I35" s="21" t="s">
        <v>775</v>
      </c>
      <c r="J35" s="21" t="s">
        <v>728</v>
      </c>
      <c r="K35" s="22">
        <v>10000</v>
      </c>
      <c r="L35" s="41" t="s">
        <v>1204</v>
      </c>
    </row>
    <row r="36" spans="1:12" x14ac:dyDescent="0.35">
      <c r="A36" s="20">
        <f t="shared" si="1"/>
        <v>35</v>
      </c>
      <c r="B36" s="10" t="s">
        <v>32</v>
      </c>
      <c r="C36" s="20" t="s">
        <v>776</v>
      </c>
      <c r="D36" s="20" t="s">
        <v>731</v>
      </c>
      <c r="E36" s="21">
        <v>100</v>
      </c>
      <c r="F36" s="21" t="s">
        <v>746</v>
      </c>
      <c r="G36" s="21" t="s">
        <v>777</v>
      </c>
      <c r="H36" s="21" t="s">
        <v>778</v>
      </c>
      <c r="I36" s="21" t="s">
        <v>779</v>
      </c>
      <c r="J36" s="21" t="s">
        <v>732</v>
      </c>
      <c r="K36" s="22">
        <v>32000</v>
      </c>
      <c r="L36" s="41" t="s">
        <v>1204</v>
      </c>
    </row>
    <row r="37" spans="1:12" x14ac:dyDescent="0.35">
      <c r="A37" s="20">
        <f t="shared" si="1"/>
        <v>36</v>
      </c>
      <c r="B37" s="10" t="s">
        <v>1360</v>
      </c>
      <c r="C37" s="20" t="s">
        <v>781</v>
      </c>
      <c r="D37" s="20" t="s">
        <v>731</v>
      </c>
      <c r="E37" s="21">
        <v>100</v>
      </c>
      <c r="F37" s="21" t="s">
        <v>782</v>
      </c>
      <c r="G37" s="21" t="s">
        <v>674</v>
      </c>
      <c r="H37" s="21" t="s">
        <v>783</v>
      </c>
      <c r="I37" s="21" t="s">
        <v>784</v>
      </c>
      <c r="J37" s="21" t="s">
        <v>785</v>
      </c>
      <c r="K37" s="22">
        <v>25000</v>
      </c>
      <c r="L37" s="41" t="s">
        <v>1205</v>
      </c>
    </row>
    <row r="38" spans="1:12" x14ac:dyDescent="0.35">
      <c r="A38" s="20">
        <f t="shared" si="1"/>
        <v>37</v>
      </c>
      <c r="B38" s="10" t="s">
        <v>1361</v>
      </c>
      <c r="C38" s="20" t="s">
        <v>790</v>
      </c>
      <c r="D38" s="20" t="s">
        <v>731</v>
      </c>
      <c r="E38" s="21">
        <v>100</v>
      </c>
      <c r="F38" s="21">
        <v>767</v>
      </c>
      <c r="G38" s="21" t="s">
        <v>786</v>
      </c>
      <c r="H38" s="21" t="s">
        <v>787</v>
      </c>
      <c r="I38" s="21" t="s">
        <v>789</v>
      </c>
      <c r="J38" s="21">
        <v>8</v>
      </c>
      <c r="K38" s="22">
        <v>40000</v>
      </c>
      <c r="L38" s="41" t="s">
        <v>1206</v>
      </c>
    </row>
    <row r="39" spans="1:12" x14ac:dyDescent="0.35">
      <c r="A39" s="20">
        <f t="shared" si="1"/>
        <v>38</v>
      </c>
      <c r="B39" s="10" t="s">
        <v>1362</v>
      </c>
      <c r="C39" s="20" t="s">
        <v>791</v>
      </c>
      <c r="D39" s="20" t="s">
        <v>731</v>
      </c>
      <c r="E39" s="21">
        <v>100</v>
      </c>
      <c r="F39" s="21">
        <v>610</v>
      </c>
      <c r="G39" s="21" t="s">
        <v>792</v>
      </c>
      <c r="H39" s="21" t="s">
        <v>793</v>
      </c>
      <c r="I39" s="21" t="s">
        <v>716</v>
      </c>
      <c r="J39" s="21" t="s">
        <v>794</v>
      </c>
      <c r="K39" s="22">
        <v>38000</v>
      </c>
      <c r="L39" s="41" t="s">
        <v>1207</v>
      </c>
    </row>
    <row r="40" spans="1:12" x14ac:dyDescent="0.35">
      <c r="A40" s="20">
        <f t="shared" si="1"/>
        <v>39</v>
      </c>
      <c r="B40" s="10" t="s">
        <v>33</v>
      </c>
      <c r="C40" s="20" t="s">
        <v>796</v>
      </c>
      <c r="D40" s="20" t="s">
        <v>795</v>
      </c>
      <c r="E40" s="21">
        <v>100</v>
      </c>
      <c r="F40" s="21" t="s">
        <v>797</v>
      </c>
      <c r="G40" s="21" t="s">
        <v>661</v>
      </c>
      <c r="H40" s="21">
        <v>0</v>
      </c>
      <c r="I40" s="21">
        <v>8</v>
      </c>
      <c r="J40" s="21" t="s">
        <v>643</v>
      </c>
      <c r="K40" s="22">
        <v>3000</v>
      </c>
      <c r="L40" s="41" t="s">
        <v>1208</v>
      </c>
    </row>
    <row r="41" spans="1:12" x14ac:dyDescent="0.35">
      <c r="A41" s="20">
        <f t="shared" si="1"/>
        <v>40</v>
      </c>
      <c r="B41" s="10" t="s">
        <v>34</v>
      </c>
      <c r="C41" s="20" t="s">
        <v>798</v>
      </c>
      <c r="D41" s="20" t="s">
        <v>795</v>
      </c>
      <c r="E41" s="21">
        <v>100</v>
      </c>
      <c r="F41" s="21">
        <v>43</v>
      </c>
      <c r="G41" s="21" t="s">
        <v>663</v>
      </c>
      <c r="H41" s="21">
        <v>0</v>
      </c>
      <c r="I41" s="21" t="s">
        <v>799</v>
      </c>
      <c r="J41" s="21" t="s">
        <v>698</v>
      </c>
      <c r="K41" s="22">
        <v>4000</v>
      </c>
      <c r="L41" s="41" t="s">
        <v>1209</v>
      </c>
    </row>
    <row r="42" spans="1:12" x14ac:dyDescent="0.35">
      <c r="A42" s="20">
        <f t="shared" si="1"/>
        <v>41</v>
      </c>
      <c r="B42" s="10" t="s">
        <v>1363</v>
      </c>
      <c r="C42" s="20" t="s">
        <v>800</v>
      </c>
      <c r="D42" s="20" t="s">
        <v>795</v>
      </c>
      <c r="E42" s="21">
        <v>100</v>
      </c>
      <c r="F42" s="21" t="s">
        <v>801</v>
      </c>
      <c r="G42" s="21" t="s">
        <v>663</v>
      </c>
      <c r="H42" s="21" t="s">
        <v>665</v>
      </c>
      <c r="I42" s="21" t="s">
        <v>802</v>
      </c>
      <c r="J42" s="21" t="s">
        <v>642</v>
      </c>
      <c r="K42" s="22">
        <v>3000</v>
      </c>
      <c r="L42" s="41" t="s">
        <v>1210</v>
      </c>
    </row>
    <row r="43" spans="1:12" x14ac:dyDescent="0.35">
      <c r="A43" s="20">
        <f t="shared" si="1"/>
        <v>42</v>
      </c>
      <c r="B43" s="10" t="s">
        <v>1364</v>
      </c>
      <c r="C43" s="20" t="s">
        <v>803</v>
      </c>
      <c r="D43" s="20" t="s">
        <v>795</v>
      </c>
      <c r="E43" s="21">
        <v>100</v>
      </c>
      <c r="F43" s="21" t="s">
        <v>1211</v>
      </c>
      <c r="G43" s="21" t="s">
        <v>624</v>
      </c>
      <c r="H43" s="21">
        <v>0</v>
      </c>
      <c r="I43" s="21" t="s">
        <v>780</v>
      </c>
      <c r="J43" s="21" t="s">
        <v>642</v>
      </c>
      <c r="K43" s="22">
        <v>6000</v>
      </c>
      <c r="L43" s="41" t="s">
        <v>1212</v>
      </c>
    </row>
    <row r="44" spans="1:12" x14ac:dyDescent="0.35">
      <c r="A44" s="20">
        <f t="shared" si="1"/>
        <v>43</v>
      </c>
      <c r="B44" s="10" t="s">
        <v>37</v>
      </c>
      <c r="C44" s="20" t="s">
        <v>804</v>
      </c>
      <c r="D44" s="20" t="s">
        <v>795</v>
      </c>
      <c r="E44" s="21">
        <v>100</v>
      </c>
      <c r="F44" s="21" t="s">
        <v>805</v>
      </c>
      <c r="G44" s="21" t="s">
        <v>663</v>
      </c>
      <c r="H44" s="21" t="s">
        <v>664</v>
      </c>
      <c r="I44" s="21">
        <v>15</v>
      </c>
      <c r="J44" s="21">
        <v>0</v>
      </c>
      <c r="K44" s="22">
        <v>2500</v>
      </c>
      <c r="L44" s="41" t="s">
        <v>1213</v>
      </c>
    </row>
    <row r="45" spans="1:12" x14ac:dyDescent="0.35">
      <c r="A45" s="20">
        <f t="shared" si="1"/>
        <v>44</v>
      </c>
      <c r="B45" s="10" t="s">
        <v>1365</v>
      </c>
      <c r="C45" s="20" t="s">
        <v>806</v>
      </c>
      <c r="D45" s="20" t="s">
        <v>795</v>
      </c>
      <c r="E45" s="21">
        <v>100</v>
      </c>
      <c r="F45" s="21" t="s">
        <v>807</v>
      </c>
      <c r="G45" s="21" t="s">
        <v>624</v>
      </c>
      <c r="H45" s="21" t="s">
        <v>661</v>
      </c>
      <c r="I45" s="21">
        <v>23</v>
      </c>
      <c r="J45" s="21" t="s">
        <v>666</v>
      </c>
      <c r="K45" s="22">
        <v>2500</v>
      </c>
      <c r="L45" s="41" t="s">
        <v>1214</v>
      </c>
    </row>
    <row r="46" spans="1:12" x14ac:dyDescent="0.35">
      <c r="A46" s="20">
        <f t="shared" si="1"/>
        <v>45</v>
      </c>
      <c r="B46" s="10" t="s">
        <v>1366</v>
      </c>
      <c r="C46" s="20" t="s">
        <v>808</v>
      </c>
      <c r="D46" s="20" t="s">
        <v>795</v>
      </c>
      <c r="E46" s="21">
        <v>100</v>
      </c>
      <c r="F46" s="21">
        <v>59</v>
      </c>
      <c r="G46" s="21" t="s">
        <v>714</v>
      </c>
      <c r="H46" s="21" t="s">
        <v>630</v>
      </c>
      <c r="I46" s="21" t="s">
        <v>809</v>
      </c>
      <c r="J46" s="21">
        <v>4</v>
      </c>
      <c r="K46" s="22">
        <v>10000</v>
      </c>
      <c r="L46" s="41" t="s">
        <v>1215</v>
      </c>
    </row>
    <row r="47" spans="1:12" x14ac:dyDescent="0.35">
      <c r="A47" s="20">
        <f t="shared" si="1"/>
        <v>46</v>
      </c>
      <c r="B47" s="10" t="s">
        <v>38</v>
      </c>
      <c r="C47" s="20" t="s">
        <v>810</v>
      </c>
      <c r="D47" s="20" t="s">
        <v>795</v>
      </c>
      <c r="E47" s="21">
        <v>100</v>
      </c>
      <c r="F47" s="21" t="s">
        <v>811</v>
      </c>
      <c r="G47" s="21" t="s">
        <v>655</v>
      </c>
      <c r="H47" s="21" t="s">
        <v>661</v>
      </c>
      <c r="I47" s="21" t="s">
        <v>812</v>
      </c>
      <c r="J47" s="21" t="s">
        <v>640</v>
      </c>
      <c r="K47" s="22">
        <v>2000</v>
      </c>
      <c r="L47" s="41" t="s">
        <v>1216</v>
      </c>
    </row>
    <row r="48" spans="1:12" x14ac:dyDescent="0.35">
      <c r="A48" s="20">
        <f t="shared" si="1"/>
        <v>47</v>
      </c>
      <c r="B48" s="10" t="s">
        <v>39</v>
      </c>
      <c r="C48" s="20" t="s">
        <v>813</v>
      </c>
      <c r="D48" s="20" t="s">
        <v>795</v>
      </c>
      <c r="E48" s="21">
        <v>100</v>
      </c>
      <c r="F48" s="21" t="s">
        <v>814</v>
      </c>
      <c r="G48" s="21" t="s">
        <v>666</v>
      </c>
      <c r="H48" s="21">
        <v>0</v>
      </c>
      <c r="I48" s="21" t="s">
        <v>711</v>
      </c>
      <c r="J48" s="21" t="s">
        <v>666</v>
      </c>
      <c r="K48" s="22">
        <v>2500</v>
      </c>
      <c r="L48" s="41" t="s">
        <v>1217</v>
      </c>
    </row>
    <row r="49" spans="1:12" x14ac:dyDescent="0.35">
      <c r="A49" s="20">
        <f t="shared" si="1"/>
        <v>48</v>
      </c>
      <c r="B49" s="10" t="s">
        <v>40</v>
      </c>
      <c r="C49" s="20" t="s">
        <v>815</v>
      </c>
      <c r="D49" s="20" t="s">
        <v>795</v>
      </c>
      <c r="E49" s="21">
        <v>100</v>
      </c>
      <c r="F49" s="21" t="s">
        <v>816</v>
      </c>
      <c r="G49" s="21" t="s">
        <v>643</v>
      </c>
      <c r="H49" s="21" t="s">
        <v>661</v>
      </c>
      <c r="I49" s="21" t="s">
        <v>659</v>
      </c>
      <c r="J49" s="21" t="s">
        <v>637</v>
      </c>
      <c r="K49" s="22">
        <v>4500</v>
      </c>
      <c r="L49" s="41" t="s">
        <v>1218</v>
      </c>
    </row>
    <row r="50" spans="1:12" x14ac:dyDescent="0.35">
      <c r="A50" s="20">
        <f t="shared" si="1"/>
        <v>49</v>
      </c>
      <c r="B50" s="10" t="s">
        <v>1367</v>
      </c>
      <c r="C50" s="20" t="s">
        <v>817</v>
      </c>
      <c r="D50" s="20" t="s">
        <v>795</v>
      </c>
      <c r="E50" s="21">
        <v>100</v>
      </c>
      <c r="F50" s="21">
        <v>52</v>
      </c>
      <c r="G50" s="21" t="s">
        <v>663</v>
      </c>
      <c r="H50" s="21">
        <v>0</v>
      </c>
      <c r="I50" s="21">
        <v>12</v>
      </c>
      <c r="J50" s="21" t="s">
        <v>1219</v>
      </c>
      <c r="K50" s="22">
        <v>4500</v>
      </c>
      <c r="L50" s="41" t="s">
        <v>1220</v>
      </c>
    </row>
    <row r="51" spans="1:12" x14ac:dyDescent="0.35">
      <c r="A51" s="20">
        <f t="shared" si="1"/>
        <v>50</v>
      </c>
      <c r="B51" s="10" t="s">
        <v>41</v>
      </c>
      <c r="C51" s="20" t="s">
        <v>818</v>
      </c>
      <c r="D51" s="20" t="s">
        <v>795</v>
      </c>
      <c r="E51" s="21">
        <v>100</v>
      </c>
      <c r="F51" s="21" t="s">
        <v>819</v>
      </c>
      <c r="G51" s="21" t="s">
        <v>630</v>
      </c>
      <c r="H51" s="21" t="s">
        <v>665</v>
      </c>
      <c r="I51" s="21" t="s">
        <v>820</v>
      </c>
      <c r="J51" s="21" t="s">
        <v>637</v>
      </c>
      <c r="K51" s="22">
        <v>9000</v>
      </c>
      <c r="L51" s="41" t="s">
        <v>1221</v>
      </c>
    </row>
    <row r="52" spans="1:12" x14ac:dyDescent="0.35">
      <c r="A52" s="20">
        <f t="shared" si="1"/>
        <v>51</v>
      </c>
      <c r="B52" s="10" t="s">
        <v>1368</v>
      </c>
      <c r="C52" s="20" t="s">
        <v>822</v>
      </c>
      <c r="D52" s="20" t="s">
        <v>795</v>
      </c>
      <c r="E52" s="21">
        <v>100</v>
      </c>
      <c r="F52" s="21">
        <v>76</v>
      </c>
      <c r="G52" s="21" t="s">
        <v>714</v>
      </c>
      <c r="H52" s="21" t="s">
        <v>823</v>
      </c>
      <c r="I52" s="21" t="s">
        <v>667</v>
      </c>
      <c r="J52" s="21" t="s">
        <v>630</v>
      </c>
      <c r="K52" s="22">
        <v>5000</v>
      </c>
      <c r="L52" s="41" t="s">
        <v>1222</v>
      </c>
    </row>
    <row r="53" spans="1:12" x14ac:dyDescent="0.35">
      <c r="A53" s="20">
        <f t="shared" si="1"/>
        <v>52</v>
      </c>
      <c r="B53" s="10" t="s">
        <v>42</v>
      </c>
      <c r="C53" s="20" t="s">
        <v>828</v>
      </c>
      <c r="D53" s="20" t="s">
        <v>795</v>
      </c>
      <c r="E53" s="21">
        <v>100</v>
      </c>
      <c r="F53" s="21" t="s">
        <v>824</v>
      </c>
      <c r="G53" s="21" t="s">
        <v>825</v>
      </c>
      <c r="H53" s="21" t="s">
        <v>826</v>
      </c>
      <c r="I53" s="21" t="s">
        <v>812</v>
      </c>
      <c r="J53" s="21" t="s">
        <v>640</v>
      </c>
      <c r="K53" s="22">
        <v>6000</v>
      </c>
      <c r="L53" s="41" t="s">
        <v>1223</v>
      </c>
    </row>
    <row r="54" spans="1:12" x14ac:dyDescent="0.35">
      <c r="A54" s="20">
        <f t="shared" si="1"/>
        <v>53</v>
      </c>
      <c r="B54" s="10" t="s">
        <v>43</v>
      </c>
      <c r="C54" s="20" t="s">
        <v>827</v>
      </c>
      <c r="D54" s="20" t="s">
        <v>795</v>
      </c>
      <c r="E54" s="21">
        <v>100</v>
      </c>
      <c r="F54" s="21" t="s">
        <v>829</v>
      </c>
      <c r="G54" s="21" t="s">
        <v>714</v>
      </c>
      <c r="H54" s="21">
        <v>0</v>
      </c>
      <c r="I54" s="21" t="s">
        <v>784</v>
      </c>
      <c r="J54" s="21" t="s">
        <v>663</v>
      </c>
      <c r="K54" s="22">
        <v>3000</v>
      </c>
      <c r="L54" s="41"/>
    </row>
    <row r="55" spans="1:12" x14ac:dyDescent="0.35">
      <c r="A55" s="20">
        <f t="shared" si="1"/>
        <v>54</v>
      </c>
      <c r="B55" s="10" t="s">
        <v>1369</v>
      </c>
      <c r="C55" s="20" t="s">
        <v>830</v>
      </c>
      <c r="D55" s="20" t="s">
        <v>795</v>
      </c>
      <c r="E55" s="21">
        <v>100</v>
      </c>
      <c r="F55" s="21" t="s">
        <v>831</v>
      </c>
      <c r="G55" s="21" t="s">
        <v>642</v>
      </c>
      <c r="H55" s="21">
        <v>0</v>
      </c>
      <c r="I55" s="21" t="s">
        <v>732</v>
      </c>
      <c r="J55" s="21" t="s">
        <v>714</v>
      </c>
      <c r="K55" s="22">
        <v>3000</v>
      </c>
      <c r="L55" s="41"/>
    </row>
    <row r="56" spans="1:12" x14ac:dyDescent="0.35">
      <c r="A56" s="20">
        <f t="shared" si="1"/>
        <v>55</v>
      </c>
      <c r="B56" s="10" t="s">
        <v>44</v>
      </c>
      <c r="C56" s="20" t="s">
        <v>832</v>
      </c>
      <c r="D56" s="20" t="s">
        <v>795</v>
      </c>
      <c r="E56" s="21">
        <v>100</v>
      </c>
      <c r="F56" s="21" t="s">
        <v>833</v>
      </c>
      <c r="G56" s="21" t="s">
        <v>666</v>
      </c>
      <c r="H56" s="21">
        <v>0</v>
      </c>
      <c r="I56" s="21" t="s">
        <v>672</v>
      </c>
      <c r="J56" s="21" t="s">
        <v>637</v>
      </c>
      <c r="K56" s="22">
        <v>4000</v>
      </c>
      <c r="L56" s="41"/>
    </row>
    <row r="57" spans="1:12" x14ac:dyDescent="0.35">
      <c r="A57" s="20">
        <f t="shared" si="1"/>
        <v>56</v>
      </c>
      <c r="B57" s="10" t="s">
        <v>1370</v>
      </c>
      <c r="C57" s="20" t="s">
        <v>834</v>
      </c>
      <c r="D57" s="20" t="s">
        <v>795</v>
      </c>
      <c r="E57" s="21">
        <v>100</v>
      </c>
      <c r="F57" s="21">
        <v>138</v>
      </c>
      <c r="G57" s="21" t="s">
        <v>756</v>
      </c>
      <c r="H57" s="21" t="s">
        <v>639</v>
      </c>
      <c r="I57" s="21" t="s">
        <v>835</v>
      </c>
      <c r="J57" s="21" t="s">
        <v>698</v>
      </c>
      <c r="K57" s="22">
        <v>15000</v>
      </c>
      <c r="L57" s="41"/>
    </row>
    <row r="58" spans="1:12" x14ac:dyDescent="0.35">
      <c r="A58" s="20">
        <f t="shared" si="1"/>
        <v>57</v>
      </c>
      <c r="B58" s="10" t="s">
        <v>45</v>
      </c>
      <c r="C58" s="20" t="s">
        <v>836</v>
      </c>
      <c r="D58" s="20" t="s">
        <v>795</v>
      </c>
      <c r="E58" s="21">
        <v>100</v>
      </c>
      <c r="F58" s="21" t="s">
        <v>833</v>
      </c>
      <c r="G58" s="21" t="s">
        <v>666</v>
      </c>
      <c r="H58" s="21">
        <v>0</v>
      </c>
      <c r="I58" s="21" t="s">
        <v>672</v>
      </c>
      <c r="J58" s="21" t="s">
        <v>643</v>
      </c>
      <c r="K58" s="22">
        <v>3000</v>
      </c>
      <c r="L58" s="41"/>
    </row>
    <row r="59" spans="1:12" x14ac:dyDescent="0.35">
      <c r="A59" s="20">
        <f t="shared" si="1"/>
        <v>58</v>
      </c>
      <c r="B59" s="10" t="s">
        <v>46</v>
      </c>
      <c r="C59" s="20" t="s">
        <v>837</v>
      </c>
      <c r="D59" s="20" t="s">
        <v>795</v>
      </c>
      <c r="E59" s="21">
        <v>100</v>
      </c>
      <c r="F59" s="21" t="s">
        <v>838</v>
      </c>
      <c r="G59" s="21" t="s">
        <v>640</v>
      </c>
      <c r="H59" s="21">
        <v>0</v>
      </c>
      <c r="I59" s="21" t="s">
        <v>839</v>
      </c>
      <c r="J59" s="21" t="s">
        <v>637</v>
      </c>
      <c r="K59" s="22">
        <v>6000</v>
      </c>
      <c r="L59" s="41"/>
    </row>
    <row r="60" spans="1:12" x14ac:dyDescent="0.35">
      <c r="A60" s="20">
        <f t="shared" si="1"/>
        <v>59</v>
      </c>
      <c r="B60" s="10" t="s">
        <v>47</v>
      </c>
      <c r="C60" s="20" t="s">
        <v>840</v>
      </c>
      <c r="D60" s="20" t="s">
        <v>795</v>
      </c>
      <c r="E60" s="21">
        <v>100</v>
      </c>
      <c r="F60" s="21" t="s">
        <v>841</v>
      </c>
      <c r="G60" s="21" t="s">
        <v>643</v>
      </c>
      <c r="H60" s="21" t="s">
        <v>664</v>
      </c>
      <c r="I60" s="21" t="s">
        <v>842</v>
      </c>
      <c r="J60" s="21" t="s">
        <v>678</v>
      </c>
      <c r="K60" s="22">
        <v>3500</v>
      </c>
      <c r="L60" s="41"/>
    </row>
    <row r="61" spans="1:12" x14ac:dyDescent="0.35">
      <c r="A61" s="20">
        <f t="shared" si="1"/>
        <v>60</v>
      </c>
      <c r="B61" s="10" t="s">
        <v>48</v>
      </c>
      <c r="C61" s="20" t="s">
        <v>843</v>
      </c>
      <c r="D61" s="20" t="s">
        <v>795</v>
      </c>
      <c r="E61" s="21">
        <v>100</v>
      </c>
      <c r="F61" s="21" t="s">
        <v>844</v>
      </c>
      <c r="G61" s="21" t="s">
        <v>637</v>
      </c>
      <c r="H61" s="21" t="s">
        <v>664</v>
      </c>
      <c r="I61" s="21" t="s">
        <v>845</v>
      </c>
      <c r="J61" s="21">
        <v>0</v>
      </c>
      <c r="K61" s="22">
        <v>4000</v>
      </c>
      <c r="L61" s="41"/>
    </row>
    <row r="62" spans="1:12" x14ac:dyDescent="0.35">
      <c r="A62" s="20">
        <f t="shared" si="1"/>
        <v>61</v>
      </c>
      <c r="B62" s="10" t="s">
        <v>49</v>
      </c>
      <c r="C62" s="20" t="s">
        <v>846</v>
      </c>
      <c r="D62" s="20" t="s">
        <v>795</v>
      </c>
      <c r="E62" s="21">
        <v>100</v>
      </c>
      <c r="F62" s="21">
        <v>68</v>
      </c>
      <c r="G62" s="21" t="s">
        <v>678</v>
      </c>
      <c r="H62" s="21" t="s">
        <v>640</v>
      </c>
      <c r="I62" s="21" t="s">
        <v>847</v>
      </c>
      <c r="J62" s="21">
        <v>3</v>
      </c>
      <c r="K62" s="22">
        <v>14000</v>
      </c>
      <c r="L62" s="41"/>
    </row>
    <row r="63" spans="1:12" x14ac:dyDescent="0.35">
      <c r="A63" s="20">
        <f t="shared" si="1"/>
        <v>62</v>
      </c>
      <c r="B63" s="10" t="s">
        <v>50</v>
      </c>
      <c r="C63" s="20" t="s">
        <v>848</v>
      </c>
      <c r="D63" s="20" t="s">
        <v>795</v>
      </c>
      <c r="E63" s="21">
        <v>100</v>
      </c>
      <c r="F63" s="21" t="s">
        <v>849</v>
      </c>
      <c r="G63" s="21" t="s">
        <v>666</v>
      </c>
      <c r="H63" s="21" t="s">
        <v>665</v>
      </c>
      <c r="I63" s="21" t="s">
        <v>641</v>
      </c>
      <c r="J63" s="21" t="s">
        <v>663</v>
      </c>
      <c r="K63" s="22">
        <v>5000</v>
      </c>
      <c r="L63" s="41"/>
    </row>
    <row r="64" spans="1:12" x14ac:dyDescent="0.35">
      <c r="A64" s="20">
        <f t="shared" si="1"/>
        <v>63</v>
      </c>
      <c r="B64" s="10" t="s">
        <v>51</v>
      </c>
      <c r="C64" s="20" t="s">
        <v>850</v>
      </c>
      <c r="D64" s="20" t="s">
        <v>795</v>
      </c>
      <c r="E64" s="21">
        <v>100</v>
      </c>
      <c r="F64" s="21" t="s">
        <v>851</v>
      </c>
      <c r="G64" s="21" t="s">
        <v>637</v>
      </c>
      <c r="H64" s="21" t="s">
        <v>637</v>
      </c>
      <c r="I64" s="21" t="s">
        <v>852</v>
      </c>
      <c r="J64" s="21" t="s">
        <v>624</v>
      </c>
      <c r="K64" s="22">
        <v>6500</v>
      </c>
      <c r="L64" s="41"/>
    </row>
    <row r="65" spans="1:12" x14ac:dyDescent="0.35">
      <c r="A65" s="20">
        <f t="shared" si="1"/>
        <v>64</v>
      </c>
      <c r="B65" s="10" t="s">
        <v>52</v>
      </c>
      <c r="C65" s="20" t="s">
        <v>854</v>
      </c>
      <c r="D65" s="20" t="s">
        <v>853</v>
      </c>
      <c r="E65" s="21">
        <v>100</v>
      </c>
      <c r="F65" s="21" t="s">
        <v>811</v>
      </c>
      <c r="G65" s="21" t="s">
        <v>637</v>
      </c>
      <c r="H65" s="21">
        <v>0</v>
      </c>
      <c r="I65" s="21" t="s">
        <v>855</v>
      </c>
      <c r="J65" s="21">
        <v>1</v>
      </c>
      <c r="K65" s="22">
        <v>2000</v>
      </c>
      <c r="L65" s="41"/>
    </row>
    <row r="66" spans="1:12" x14ac:dyDescent="0.35">
      <c r="A66" s="20">
        <f t="shared" si="1"/>
        <v>65</v>
      </c>
      <c r="B66" s="10" t="s">
        <v>53</v>
      </c>
      <c r="C66" s="20" t="s">
        <v>856</v>
      </c>
      <c r="D66" s="20" t="s">
        <v>853</v>
      </c>
      <c r="E66" s="21">
        <v>100</v>
      </c>
      <c r="F66" s="21" t="s">
        <v>857</v>
      </c>
      <c r="G66" s="21" t="s">
        <v>637</v>
      </c>
      <c r="H66" s="21"/>
      <c r="I66" s="21" t="s">
        <v>522</v>
      </c>
      <c r="J66" s="21">
        <v>1</v>
      </c>
      <c r="K66" s="22">
        <v>2000</v>
      </c>
      <c r="L66" s="41"/>
    </row>
    <row r="67" spans="1:12" x14ac:dyDescent="0.35">
      <c r="A67" s="20">
        <f t="shared" si="1"/>
        <v>66</v>
      </c>
      <c r="B67" s="10" t="s">
        <v>54</v>
      </c>
      <c r="C67" s="20" t="s">
        <v>858</v>
      </c>
      <c r="D67" s="20" t="s">
        <v>853</v>
      </c>
      <c r="E67" s="21">
        <v>100</v>
      </c>
      <c r="F67" s="21">
        <v>24</v>
      </c>
      <c r="G67" s="21" t="s">
        <v>637</v>
      </c>
      <c r="H67" s="21" t="s">
        <v>661</v>
      </c>
      <c r="I67" s="21" t="s">
        <v>745</v>
      </c>
      <c r="J67" s="21" t="s">
        <v>666</v>
      </c>
      <c r="K67" s="22">
        <v>2500</v>
      </c>
      <c r="L67" s="41"/>
    </row>
    <row r="68" spans="1:12" x14ac:dyDescent="0.35">
      <c r="A68" s="20">
        <f t="shared" si="1"/>
        <v>67</v>
      </c>
      <c r="B68" s="10" t="s">
        <v>56</v>
      </c>
      <c r="C68" s="20" t="s">
        <v>859</v>
      </c>
      <c r="D68" s="20" t="s">
        <v>853</v>
      </c>
      <c r="E68" s="21">
        <v>100</v>
      </c>
      <c r="F68" s="21">
        <v>27</v>
      </c>
      <c r="G68" s="21" t="s">
        <v>624</v>
      </c>
      <c r="H68" s="21"/>
      <c r="I68" s="21" t="s">
        <v>696</v>
      </c>
      <c r="J68" s="21" t="s">
        <v>639</v>
      </c>
      <c r="K68" s="22">
        <v>2500</v>
      </c>
      <c r="L68" s="41"/>
    </row>
    <row r="69" spans="1:12" x14ac:dyDescent="0.35">
      <c r="A69" s="20">
        <f t="shared" si="1"/>
        <v>68</v>
      </c>
      <c r="B69" s="10" t="s">
        <v>57</v>
      </c>
      <c r="C69" s="20" t="s">
        <v>860</v>
      </c>
      <c r="D69" s="20" t="s">
        <v>853</v>
      </c>
      <c r="E69" s="21">
        <v>100</v>
      </c>
      <c r="F69" s="21">
        <v>44</v>
      </c>
      <c r="G69" s="21" t="s">
        <v>624</v>
      </c>
      <c r="H69" s="21" t="s">
        <v>665</v>
      </c>
      <c r="I69" s="21" t="s">
        <v>861</v>
      </c>
      <c r="J69" s="21" t="s">
        <v>655</v>
      </c>
      <c r="K69" s="22">
        <v>3000</v>
      </c>
      <c r="L69" s="41"/>
    </row>
    <row r="70" spans="1:12" x14ac:dyDescent="0.35">
      <c r="A70" s="20">
        <f t="shared" si="1"/>
        <v>69</v>
      </c>
      <c r="B70" s="10" t="s">
        <v>58</v>
      </c>
      <c r="C70" s="20" t="s">
        <v>862</v>
      </c>
      <c r="D70" s="20" t="s">
        <v>853</v>
      </c>
      <c r="E70" s="21">
        <v>100</v>
      </c>
      <c r="F70" s="21" t="s">
        <v>863</v>
      </c>
      <c r="G70" s="21">
        <v>1</v>
      </c>
      <c r="H70" s="21">
        <v>0</v>
      </c>
      <c r="I70" s="21">
        <v>6</v>
      </c>
      <c r="J70" s="21" t="s">
        <v>624</v>
      </c>
      <c r="K70" s="22">
        <v>2500</v>
      </c>
      <c r="L70" s="41"/>
    </row>
    <row r="71" spans="1:12" x14ac:dyDescent="0.35">
      <c r="A71" s="20">
        <f t="shared" si="1"/>
        <v>70</v>
      </c>
      <c r="B71" s="10" t="s">
        <v>1371</v>
      </c>
      <c r="C71" s="20" t="s">
        <v>864</v>
      </c>
      <c r="D71" s="20" t="s">
        <v>853</v>
      </c>
      <c r="E71" s="21">
        <v>100</v>
      </c>
      <c r="F71" s="21" t="s">
        <v>865</v>
      </c>
      <c r="G71" s="21" t="s">
        <v>714</v>
      </c>
      <c r="H71" s="21">
        <v>0</v>
      </c>
      <c r="I71" s="21" t="s">
        <v>866</v>
      </c>
      <c r="J71" s="21" t="s">
        <v>639</v>
      </c>
      <c r="K71" s="22">
        <v>2000</v>
      </c>
      <c r="L71" s="41"/>
    </row>
    <row r="72" spans="1:12" x14ac:dyDescent="0.35">
      <c r="A72" s="20">
        <f t="shared" si="1"/>
        <v>71</v>
      </c>
      <c r="B72" s="10" t="s">
        <v>59</v>
      </c>
      <c r="C72" s="20" t="s">
        <v>867</v>
      </c>
      <c r="D72" s="20" t="s">
        <v>853</v>
      </c>
      <c r="E72" s="21">
        <v>100</v>
      </c>
      <c r="F72" s="21">
        <v>54</v>
      </c>
      <c r="G72" s="21" t="s">
        <v>627</v>
      </c>
      <c r="H72" s="21" t="s">
        <v>665</v>
      </c>
      <c r="I72" s="21" t="s">
        <v>826</v>
      </c>
      <c r="J72" s="21" t="s">
        <v>624</v>
      </c>
      <c r="K72" s="22">
        <v>4000</v>
      </c>
      <c r="L72" s="41"/>
    </row>
    <row r="73" spans="1:12" x14ac:dyDescent="0.35">
      <c r="A73" s="20">
        <f t="shared" si="1"/>
        <v>72</v>
      </c>
      <c r="B73" s="10" t="s">
        <v>60</v>
      </c>
      <c r="C73" s="20" t="s">
        <v>868</v>
      </c>
      <c r="D73" s="20" t="s">
        <v>853</v>
      </c>
      <c r="E73" s="21">
        <v>100</v>
      </c>
      <c r="F73" s="21" t="s">
        <v>869</v>
      </c>
      <c r="G73" s="21" t="s">
        <v>655</v>
      </c>
      <c r="H73" s="21" t="s">
        <v>664</v>
      </c>
      <c r="I73" s="21" t="s">
        <v>870</v>
      </c>
      <c r="J73" s="21">
        <v>1</v>
      </c>
      <c r="K73" s="22">
        <v>2000</v>
      </c>
      <c r="L73" s="41"/>
    </row>
    <row r="74" spans="1:12" x14ac:dyDescent="0.35">
      <c r="A74" s="20">
        <f t="shared" si="1"/>
        <v>73</v>
      </c>
      <c r="B74" s="10" t="s">
        <v>61</v>
      </c>
      <c r="C74" s="20" t="s">
        <v>871</v>
      </c>
      <c r="D74" s="20" t="s">
        <v>853</v>
      </c>
      <c r="E74" s="21">
        <v>100</v>
      </c>
      <c r="F74" s="21">
        <v>31</v>
      </c>
      <c r="G74" s="21">
        <v>1</v>
      </c>
      <c r="H74" s="21">
        <f ca="1">H74</f>
        <v>0</v>
      </c>
      <c r="I74" s="21" t="s">
        <v>785</v>
      </c>
      <c r="J74" s="21" t="s">
        <v>643</v>
      </c>
      <c r="K74" s="22">
        <v>1500</v>
      </c>
      <c r="L74" s="41"/>
    </row>
    <row r="75" spans="1:12" x14ac:dyDescent="0.35">
      <c r="A75" s="20">
        <f t="shared" si="1"/>
        <v>74</v>
      </c>
      <c r="B75" s="10" t="s">
        <v>62</v>
      </c>
      <c r="C75" s="20" t="s">
        <v>872</v>
      </c>
      <c r="D75" s="20" t="s">
        <v>853</v>
      </c>
      <c r="E75" s="21">
        <v>100</v>
      </c>
      <c r="F75" s="21" t="s">
        <v>811</v>
      </c>
      <c r="G75" s="21" t="s">
        <v>666</v>
      </c>
      <c r="H75" s="21">
        <v>0</v>
      </c>
      <c r="I75" s="21" t="s">
        <v>628</v>
      </c>
      <c r="J75" s="21" t="s">
        <v>643</v>
      </c>
      <c r="K75" s="22">
        <v>2000</v>
      </c>
      <c r="L75" s="41"/>
    </row>
    <row r="76" spans="1:12" x14ac:dyDescent="0.35">
      <c r="A76" s="20">
        <f t="shared" si="1"/>
        <v>75</v>
      </c>
      <c r="B76" s="10" t="s">
        <v>1372</v>
      </c>
      <c r="C76" s="20" t="s">
        <v>873</v>
      </c>
      <c r="D76" s="20" t="s">
        <v>853</v>
      </c>
      <c r="E76" s="21">
        <v>100</v>
      </c>
      <c r="F76" s="21" t="s">
        <v>874</v>
      </c>
      <c r="G76" s="21">
        <v>5</v>
      </c>
      <c r="H76" s="21">
        <v>0</v>
      </c>
      <c r="I76" s="21" t="s">
        <v>875</v>
      </c>
      <c r="J76" s="21">
        <v>1</v>
      </c>
      <c r="K76" s="22">
        <v>3500</v>
      </c>
      <c r="L76" s="41"/>
    </row>
    <row r="77" spans="1:12" x14ac:dyDescent="0.35">
      <c r="A77" s="20">
        <f t="shared" si="1"/>
        <v>76</v>
      </c>
      <c r="B77" s="10" t="s">
        <v>64</v>
      </c>
      <c r="C77" s="20" t="s">
        <v>876</v>
      </c>
      <c r="D77" s="20" t="s">
        <v>853</v>
      </c>
      <c r="E77" s="21">
        <v>100</v>
      </c>
      <c r="F77" s="21" t="s">
        <v>877</v>
      </c>
      <c r="G77" s="21">
        <v>6</v>
      </c>
      <c r="H77" s="21" t="s">
        <v>664</v>
      </c>
      <c r="I77" s="21" t="s">
        <v>788</v>
      </c>
      <c r="J77" s="21">
        <v>2</v>
      </c>
      <c r="K77" s="22">
        <v>3000</v>
      </c>
      <c r="L77" s="41"/>
    </row>
    <row r="78" spans="1:12" x14ac:dyDescent="0.35">
      <c r="A78" s="20">
        <f t="shared" si="1"/>
        <v>77</v>
      </c>
      <c r="B78" s="10" t="s">
        <v>65</v>
      </c>
      <c r="C78" s="20" t="s">
        <v>878</v>
      </c>
      <c r="D78" s="20" t="s">
        <v>853</v>
      </c>
      <c r="E78" s="21">
        <v>100</v>
      </c>
      <c r="F78" s="21" t="s">
        <v>879</v>
      </c>
      <c r="G78" s="21" t="s">
        <v>691</v>
      </c>
      <c r="H78" s="21" t="s">
        <v>665</v>
      </c>
      <c r="I78" s="21" t="s">
        <v>880</v>
      </c>
      <c r="J78" s="21">
        <v>2</v>
      </c>
      <c r="K78" s="22">
        <v>2000</v>
      </c>
      <c r="L78" s="41"/>
    </row>
    <row r="79" spans="1:12" x14ac:dyDescent="0.35">
      <c r="A79" s="20">
        <f t="shared" si="1"/>
        <v>78</v>
      </c>
      <c r="B79" s="10" t="s">
        <v>66</v>
      </c>
      <c r="C79" s="20" t="s">
        <v>881</v>
      </c>
      <c r="D79" s="20" t="s">
        <v>853</v>
      </c>
      <c r="E79" s="21">
        <v>100</v>
      </c>
      <c r="F79" s="21" t="s">
        <v>801</v>
      </c>
      <c r="G79" s="21" t="s">
        <v>642</v>
      </c>
      <c r="H79" s="21" t="s">
        <v>882</v>
      </c>
      <c r="I79" s="21" t="s">
        <v>696</v>
      </c>
      <c r="J79" s="21" t="s">
        <v>643</v>
      </c>
      <c r="K79" s="22">
        <v>4500</v>
      </c>
      <c r="L79" s="41"/>
    </row>
    <row r="80" spans="1:12" x14ac:dyDescent="0.35">
      <c r="A80" s="20">
        <f t="shared" si="1"/>
        <v>79</v>
      </c>
      <c r="B80" s="10" t="s">
        <v>67</v>
      </c>
      <c r="C80" s="20" t="s">
        <v>883</v>
      </c>
      <c r="D80" s="20" t="s">
        <v>853</v>
      </c>
      <c r="E80" s="21">
        <v>100</v>
      </c>
      <c r="F80" s="21" t="s">
        <v>884</v>
      </c>
      <c r="G80" s="21" t="s">
        <v>642</v>
      </c>
      <c r="H80" s="21">
        <v>0</v>
      </c>
      <c r="I80" s="21" t="s">
        <v>696</v>
      </c>
      <c r="J80" s="21" t="s">
        <v>663</v>
      </c>
      <c r="K80" s="22">
        <v>3000</v>
      </c>
      <c r="L80" s="41"/>
    </row>
    <row r="81" spans="1:12" x14ac:dyDescent="0.35">
      <c r="A81" s="20">
        <f t="shared" si="1"/>
        <v>80</v>
      </c>
      <c r="B81" s="10" t="s">
        <v>68</v>
      </c>
      <c r="C81" s="20" t="s">
        <v>885</v>
      </c>
      <c r="D81" s="20" t="s">
        <v>853</v>
      </c>
      <c r="E81" s="21">
        <v>100</v>
      </c>
      <c r="F81" s="21">
        <v>45</v>
      </c>
      <c r="G81" s="21" t="s">
        <v>714</v>
      </c>
      <c r="H81" s="21" t="s">
        <v>665</v>
      </c>
      <c r="I81" s="21" t="s">
        <v>672</v>
      </c>
      <c r="J81" s="21" t="s">
        <v>678</v>
      </c>
      <c r="K81" s="22">
        <v>2500</v>
      </c>
      <c r="L81" s="41"/>
    </row>
    <row r="82" spans="1:12" x14ac:dyDescent="0.35">
      <c r="A82" s="20">
        <f t="shared" si="1"/>
        <v>81</v>
      </c>
      <c r="B82" s="10" t="s">
        <v>69</v>
      </c>
      <c r="C82" s="20" t="s">
        <v>886</v>
      </c>
      <c r="D82" s="20" t="s">
        <v>853</v>
      </c>
      <c r="E82" s="21">
        <v>100</v>
      </c>
      <c r="F82" s="21">
        <v>164</v>
      </c>
      <c r="G82" s="21" t="s">
        <v>772</v>
      </c>
      <c r="H82" s="21" t="s">
        <v>640</v>
      </c>
      <c r="I82" s="21" t="s">
        <v>887</v>
      </c>
      <c r="J82" s="21" t="s">
        <v>666</v>
      </c>
      <c r="K82" s="22">
        <v>12000</v>
      </c>
      <c r="L82" s="41"/>
    </row>
    <row r="83" spans="1:12" x14ac:dyDescent="0.35">
      <c r="A83" s="20">
        <f t="shared" si="1"/>
        <v>82</v>
      </c>
      <c r="B83" s="10" t="s">
        <v>70</v>
      </c>
      <c r="C83" s="20" t="s">
        <v>888</v>
      </c>
      <c r="D83" s="20" t="s">
        <v>853</v>
      </c>
      <c r="E83" s="21">
        <v>100</v>
      </c>
      <c r="F83" s="21" t="s">
        <v>740</v>
      </c>
      <c r="G83" s="21">
        <v>20</v>
      </c>
      <c r="H83" s="21" t="s">
        <v>704</v>
      </c>
      <c r="I83" s="21" t="s">
        <v>889</v>
      </c>
      <c r="J83" s="21" t="s">
        <v>690</v>
      </c>
      <c r="K83" s="22">
        <v>30000</v>
      </c>
      <c r="L83" s="41"/>
    </row>
    <row r="84" spans="1:12" x14ac:dyDescent="0.35">
      <c r="A84" s="20">
        <f t="shared" si="1"/>
        <v>83</v>
      </c>
      <c r="B84" s="10" t="s">
        <v>71</v>
      </c>
      <c r="C84" s="20" t="s">
        <v>890</v>
      </c>
      <c r="D84" s="20" t="s">
        <v>853</v>
      </c>
      <c r="E84" s="21">
        <v>100</v>
      </c>
      <c r="F84" s="21" t="s">
        <v>811</v>
      </c>
      <c r="G84" s="21" t="s">
        <v>663</v>
      </c>
      <c r="H84" s="21" t="s">
        <v>665</v>
      </c>
      <c r="I84" s="21" t="s">
        <v>626</v>
      </c>
      <c r="J84" s="21" t="s">
        <v>640</v>
      </c>
      <c r="K84" s="22">
        <v>2500</v>
      </c>
      <c r="L84" s="41"/>
    </row>
    <row r="85" spans="1:12" x14ac:dyDescent="0.35">
      <c r="A85" s="20">
        <f t="shared" si="1"/>
        <v>84</v>
      </c>
      <c r="B85" s="10" t="s">
        <v>72</v>
      </c>
      <c r="C85" s="20" t="s">
        <v>892</v>
      </c>
      <c r="D85" s="20" t="s">
        <v>853</v>
      </c>
      <c r="E85" s="21">
        <v>100</v>
      </c>
      <c r="F85" s="21" t="s">
        <v>863</v>
      </c>
      <c r="G85" s="21" t="s">
        <v>648</v>
      </c>
      <c r="H85" s="21" t="s">
        <v>661</v>
      </c>
      <c r="I85" s="21" t="s">
        <v>621</v>
      </c>
      <c r="J85" s="21" t="s">
        <v>698</v>
      </c>
      <c r="K85" s="22">
        <v>2000</v>
      </c>
      <c r="L85" s="41"/>
    </row>
    <row r="86" spans="1:12" x14ac:dyDescent="0.35">
      <c r="A86" s="20">
        <f t="shared" si="1"/>
        <v>85</v>
      </c>
      <c r="B86" s="10" t="s">
        <v>73</v>
      </c>
      <c r="C86" s="20" t="s">
        <v>891</v>
      </c>
      <c r="D86" s="20" t="s">
        <v>853</v>
      </c>
      <c r="E86" s="21">
        <v>100</v>
      </c>
      <c r="F86" s="21">
        <v>34</v>
      </c>
      <c r="G86" s="21" t="s">
        <v>690</v>
      </c>
      <c r="H86" s="21" t="s">
        <v>640</v>
      </c>
      <c r="I86" s="21" t="s">
        <v>893</v>
      </c>
      <c r="J86" s="21" t="s">
        <v>481</v>
      </c>
      <c r="K86" s="22">
        <v>4000</v>
      </c>
      <c r="L86" s="41"/>
    </row>
    <row r="87" spans="1:12" x14ac:dyDescent="0.35">
      <c r="A87" s="20">
        <f t="shared" si="1"/>
        <v>86</v>
      </c>
      <c r="B87" s="10" t="s">
        <v>74</v>
      </c>
      <c r="C87" s="20" t="s">
        <v>894</v>
      </c>
      <c r="D87" s="20" t="s">
        <v>853</v>
      </c>
      <c r="E87" s="21">
        <v>100</v>
      </c>
      <c r="F87" s="21" t="s">
        <v>895</v>
      </c>
      <c r="G87" s="21">
        <v>2</v>
      </c>
      <c r="H87" s="21">
        <v>0</v>
      </c>
      <c r="I87" s="21" t="s">
        <v>621</v>
      </c>
      <c r="J87" s="21" t="s">
        <v>756</v>
      </c>
      <c r="K87" s="22">
        <v>2000</v>
      </c>
      <c r="L87" s="41"/>
    </row>
    <row r="88" spans="1:12" x14ac:dyDescent="0.35">
      <c r="A88" s="20">
        <f t="shared" si="1"/>
        <v>87</v>
      </c>
      <c r="B88" s="10" t="s">
        <v>76</v>
      </c>
      <c r="C88" s="20" t="s">
        <v>896</v>
      </c>
      <c r="D88" s="20" t="s">
        <v>853</v>
      </c>
      <c r="E88" s="21">
        <v>100</v>
      </c>
      <c r="F88" s="21" t="s">
        <v>863</v>
      </c>
      <c r="G88" s="21" t="s">
        <v>667</v>
      </c>
      <c r="H88" s="21" t="s">
        <v>661</v>
      </c>
      <c r="I88" s="21" t="s">
        <v>661</v>
      </c>
      <c r="J88" s="21">
        <v>1</v>
      </c>
      <c r="K88" s="22">
        <v>1500</v>
      </c>
      <c r="L88" s="41"/>
    </row>
    <row r="89" spans="1:12" x14ac:dyDescent="0.35">
      <c r="A89" s="20">
        <f t="shared" si="1"/>
        <v>88</v>
      </c>
      <c r="B89" s="10" t="s">
        <v>77</v>
      </c>
      <c r="C89" s="20" t="s">
        <v>897</v>
      </c>
      <c r="D89" s="20" t="s">
        <v>853</v>
      </c>
      <c r="E89" s="21">
        <v>100</v>
      </c>
      <c r="F89" s="21" t="s">
        <v>898</v>
      </c>
      <c r="G89" s="21" t="s">
        <v>710</v>
      </c>
      <c r="H89" s="21">
        <v>0</v>
      </c>
      <c r="I89" s="21" t="s">
        <v>802</v>
      </c>
      <c r="J89" s="21" t="s">
        <v>756</v>
      </c>
      <c r="K89" s="22">
        <v>2500</v>
      </c>
      <c r="L89" s="41"/>
    </row>
    <row r="90" spans="1:12" x14ac:dyDescent="0.35">
      <c r="A90" s="20">
        <f t="shared" si="1"/>
        <v>89</v>
      </c>
      <c r="B90" s="10" t="s">
        <v>78</v>
      </c>
      <c r="C90" s="20" t="s">
        <v>899</v>
      </c>
      <c r="D90" s="20" t="s">
        <v>853</v>
      </c>
      <c r="E90" s="21">
        <v>100</v>
      </c>
      <c r="F90" s="21">
        <v>34</v>
      </c>
      <c r="G90" s="21" t="s">
        <v>756</v>
      </c>
      <c r="H90" s="21" t="s">
        <v>665</v>
      </c>
      <c r="I90" s="21" t="s">
        <v>692</v>
      </c>
      <c r="J90" s="21" t="s">
        <v>663</v>
      </c>
      <c r="K90" s="22">
        <v>4000</v>
      </c>
      <c r="L90" s="41"/>
    </row>
    <row r="91" spans="1:12" x14ac:dyDescent="0.35">
      <c r="A91" s="20">
        <f t="shared" si="1"/>
        <v>90</v>
      </c>
      <c r="B91" s="10" t="s">
        <v>79</v>
      </c>
      <c r="C91" s="20" t="s">
        <v>900</v>
      </c>
      <c r="D91" s="20" t="s">
        <v>853</v>
      </c>
      <c r="E91" s="21">
        <v>100</v>
      </c>
      <c r="F91" s="21" t="s">
        <v>901</v>
      </c>
      <c r="G91" s="21" t="s">
        <v>902</v>
      </c>
      <c r="H91" s="21" t="s">
        <v>902</v>
      </c>
      <c r="I91" s="21" t="s">
        <v>903</v>
      </c>
      <c r="J91" s="21" t="s">
        <v>667</v>
      </c>
      <c r="K91" s="22">
        <v>4500</v>
      </c>
      <c r="L91" s="41"/>
    </row>
    <row r="92" spans="1:12" x14ac:dyDescent="0.35">
      <c r="A92" s="20">
        <f t="shared" si="1"/>
        <v>91</v>
      </c>
      <c r="B92" s="10" t="s">
        <v>80</v>
      </c>
      <c r="C92" s="20" t="s">
        <v>904</v>
      </c>
      <c r="D92" s="20" t="s">
        <v>853</v>
      </c>
      <c r="E92" s="21">
        <v>100</v>
      </c>
      <c r="F92" s="21" t="s">
        <v>905</v>
      </c>
      <c r="G92" s="21">
        <v>6</v>
      </c>
      <c r="H92" s="21" t="s">
        <v>664</v>
      </c>
      <c r="I92" s="21" t="s">
        <v>763</v>
      </c>
      <c r="J92" s="21" t="s">
        <v>624</v>
      </c>
      <c r="K92" s="22">
        <v>6000</v>
      </c>
      <c r="L92" s="41"/>
    </row>
    <row r="93" spans="1:12" x14ac:dyDescent="0.35">
      <c r="A93" s="20">
        <f t="shared" si="1"/>
        <v>92</v>
      </c>
      <c r="B93" s="10" t="s">
        <v>82</v>
      </c>
      <c r="C93" s="20" t="s">
        <v>906</v>
      </c>
      <c r="D93" s="20" t="s">
        <v>853</v>
      </c>
      <c r="E93" s="21">
        <v>100</v>
      </c>
      <c r="F93" s="21">
        <v>35</v>
      </c>
      <c r="G93" s="21" t="s">
        <v>698</v>
      </c>
      <c r="H93" s="21">
        <v>0</v>
      </c>
      <c r="I93" s="21" t="s">
        <v>907</v>
      </c>
      <c r="J93" s="21" t="s">
        <v>624</v>
      </c>
      <c r="K93" s="22">
        <v>4000</v>
      </c>
      <c r="L93" s="41"/>
    </row>
    <row r="94" spans="1:12" x14ac:dyDescent="0.35">
      <c r="A94" s="20">
        <f t="shared" si="1"/>
        <v>93</v>
      </c>
      <c r="B94" s="10" t="s">
        <v>83</v>
      </c>
      <c r="C94" s="20" t="s">
        <v>916</v>
      </c>
      <c r="D94" s="20" t="s">
        <v>853</v>
      </c>
      <c r="E94" s="21">
        <v>100</v>
      </c>
      <c r="F94" s="21">
        <v>332</v>
      </c>
      <c r="G94" s="21" t="s">
        <v>917</v>
      </c>
      <c r="H94" s="21" t="s">
        <v>661</v>
      </c>
      <c r="I94" s="21">
        <v>72</v>
      </c>
      <c r="J94" s="21">
        <v>7</v>
      </c>
      <c r="K94" s="22">
        <v>18000</v>
      </c>
      <c r="L94" s="41"/>
    </row>
    <row r="95" spans="1:12" x14ac:dyDescent="0.35">
      <c r="A95" s="20">
        <f t="shared" ref="A95:A158" si="2">ROW()-1</f>
        <v>94</v>
      </c>
      <c r="B95" s="10" t="s">
        <v>85</v>
      </c>
      <c r="C95" s="20" t="s">
        <v>918</v>
      </c>
      <c r="D95" s="20" t="s">
        <v>853</v>
      </c>
      <c r="E95" s="21">
        <v>100</v>
      </c>
      <c r="F95" s="21">
        <v>342</v>
      </c>
      <c r="G95" s="21" t="s">
        <v>919</v>
      </c>
      <c r="H95" s="21">
        <v>4</v>
      </c>
      <c r="I95" s="21" t="s">
        <v>920</v>
      </c>
      <c r="J95" s="21">
        <v>17</v>
      </c>
      <c r="K95" s="22">
        <v>35000</v>
      </c>
      <c r="L95" s="41"/>
    </row>
    <row r="96" spans="1:12" x14ac:dyDescent="0.35">
      <c r="A96" s="20">
        <f t="shared" si="2"/>
        <v>95</v>
      </c>
      <c r="B96" s="10" t="s">
        <v>87</v>
      </c>
      <c r="C96" s="20" t="s">
        <v>921</v>
      </c>
      <c r="D96" s="20" t="s">
        <v>853</v>
      </c>
      <c r="E96" s="21">
        <v>100</v>
      </c>
      <c r="F96" s="21">
        <v>326</v>
      </c>
      <c r="G96" s="21" t="s">
        <v>922</v>
      </c>
      <c r="H96" s="21">
        <v>0</v>
      </c>
      <c r="I96" s="21">
        <v>66</v>
      </c>
      <c r="J96" s="21" t="s">
        <v>638</v>
      </c>
      <c r="K96" s="22">
        <v>6000</v>
      </c>
      <c r="L96" s="41"/>
    </row>
    <row r="97" spans="1:12" x14ac:dyDescent="0.35">
      <c r="A97" s="20">
        <f t="shared" si="2"/>
        <v>96</v>
      </c>
      <c r="B97" s="10" t="s">
        <v>89</v>
      </c>
      <c r="C97" s="20" t="s">
        <v>923</v>
      </c>
      <c r="D97" s="20" t="s">
        <v>853</v>
      </c>
      <c r="E97" s="21">
        <v>100</v>
      </c>
      <c r="F97" s="21">
        <v>17</v>
      </c>
      <c r="G97" s="21" t="s">
        <v>624</v>
      </c>
      <c r="H97" s="21" t="s">
        <v>661</v>
      </c>
      <c r="I97" s="21" t="s">
        <v>924</v>
      </c>
      <c r="J97" s="21">
        <v>1</v>
      </c>
      <c r="K97" s="22">
        <v>3000</v>
      </c>
      <c r="L97" s="41"/>
    </row>
    <row r="98" spans="1:12" x14ac:dyDescent="0.35">
      <c r="A98" s="20">
        <f t="shared" si="2"/>
        <v>97</v>
      </c>
      <c r="B98" s="10" t="s">
        <v>90</v>
      </c>
      <c r="C98" s="20" t="s">
        <v>63</v>
      </c>
      <c r="D98" s="20" t="s">
        <v>925</v>
      </c>
      <c r="E98" s="21">
        <v>100</v>
      </c>
      <c r="F98" s="21" t="s">
        <v>926</v>
      </c>
      <c r="G98" s="21" t="s">
        <v>640</v>
      </c>
      <c r="H98" s="21" t="s">
        <v>927</v>
      </c>
      <c r="I98" s="21" t="s">
        <v>640</v>
      </c>
      <c r="J98" s="21">
        <v>0</v>
      </c>
      <c r="K98" s="22">
        <v>22000</v>
      </c>
      <c r="L98" s="41"/>
    </row>
    <row r="99" spans="1:12" x14ac:dyDescent="0.35">
      <c r="A99" s="20">
        <f t="shared" si="2"/>
        <v>98</v>
      </c>
      <c r="B99" s="10" t="s">
        <v>91</v>
      </c>
      <c r="C99" s="20" t="s">
        <v>928</v>
      </c>
      <c r="D99" s="20" t="s">
        <v>925</v>
      </c>
      <c r="E99" s="21">
        <v>100</v>
      </c>
      <c r="F99" s="21" t="s">
        <v>929</v>
      </c>
      <c r="G99" s="21">
        <v>0</v>
      </c>
      <c r="H99" s="21" t="s">
        <v>930</v>
      </c>
      <c r="I99" s="21">
        <v>0</v>
      </c>
      <c r="J99" s="21">
        <v>0</v>
      </c>
      <c r="K99" s="22">
        <v>5000</v>
      </c>
      <c r="L99" s="41"/>
    </row>
    <row r="100" spans="1:12" x14ac:dyDescent="0.35">
      <c r="A100" s="20">
        <f t="shared" si="2"/>
        <v>99</v>
      </c>
      <c r="B100" s="10" t="s">
        <v>93</v>
      </c>
      <c r="C100" s="20" t="s">
        <v>931</v>
      </c>
      <c r="D100" s="20" t="s">
        <v>925</v>
      </c>
      <c r="E100" s="21">
        <v>100</v>
      </c>
      <c r="F100" s="21" t="s">
        <v>932</v>
      </c>
      <c r="G100" s="21" t="s">
        <v>640</v>
      </c>
      <c r="H100" s="21" t="s">
        <v>933</v>
      </c>
      <c r="I100" s="21" t="s">
        <v>665</v>
      </c>
      <c r="J100" s="21">
        <v>0</v>
      </c>
      <c r="K100" s="22">
        <v>8000</v>
      </c>
      <c r="L100" s="41"/>
    </row>
    <row r="101" spans="1:12" x14ac:dyDescent="0.35">
      <c r="A101" s="20">
        <f t="shared" si="2"/>
        <v>100</v>
      </c>
      <c r="B101" s="10" t="s">
        <v>592</v>
      </c>
      <c r="C101" s="20" t="s">
        <v>934</v>
      </c>
      <c r="D101" s="20" t="s">
        <v>925</v>
      </c>
      <c r="E101" s="21">
        <v>100</v>
      </c>
      <c r="F101" s="21" t="s">
        <v>935</v>
      </c>
      <c r="G101" s="21">
        <v>0</v>
      </c>
      <c r="H101" s="21">
        <v>100</v>
      </c>
      <c r="I101" s="21">
        <v>0</v>
      </c>
      <c r="J101" s="21">
        <v>0</v>
      </c>
      <c r="K101" s="22">
        <v>12000</v>
      </c>
      <c r="L101" s="41"/>
    </row>
    <row r="102" spans="1:12" x14ac:dyDescent="0.35">
      <c r="A102" s="20">
        <f t="shared" si="2"/>
        <v>101</v>
      </c>
      <c r="B102" s="10" t="s">
        <v>593</v>
      </c>
      <c r="C102" s="20" t="s">
        <v>936</v>
      </c>
      <c r="D102" s="20" t="s">
        <v>925</v>
      </c>
      <c r="E102" s="21">
        <v>100</v>
      </c>
      <c r="F102" s="21" t="s">
        <v>935</v>
      </c>
      <c r="G102" s="21">
        <v>0</v>
      </c>
      <c r="H102" s="21">
        <v>100</v>
      </c>
      <c r="I102" s="21">
        <v>0</v>
      </c>
      <c r="J102" s="21">
        <v>0</v>
      </c>
      <c r="K102" s="22">
        <v>8000</v>
      </c>
      <c r="L102" s="41"/>
    </row>
    <row r="103" spans="1:12" x14ac:dyDescent="0.35">
      <c r="A103" s="20">
        <f t="shared" si="2"/>
        <v>102</v>
      </c>
      <c r="B103" s="10" t="s">
        <v>594</v>
      </c>
      <c r="C103" s="20" t="s">
        <v>75</v>
      </c>
      <c r="D103" s="20" t="s">
        <v>925</v>
      </c>
      <c r="E103" s="21">
        <v>100</v>
      </c>
      <c r="F103" s="21" t="s">
        <v>935</v>
      </c>
      <c r="G103" s="21">
        <v>0</v>
      </c>
      <c r="H103" s="21">
        <v>100</v>
      </c>
      <c r="I103" s="21">
        <v>0</v>
      </c>
      <c r="J103" s="21">
        <v>0</v>
      </c>
      <c r="K103" s="22">
        <v>15000</v>
      </c>
      <c r="L103" s="41"/>
    </row>
    <row r="104" spans="1:12" x14ac:dyDescent="0.35">
      <c r="A104" s="20">
        <f t="shared" si="2"/>
        <v>103</v>
      </c>
      <c r="B104" s="10" t="s">
        <v>595</v>
      </c>
      <c r="C104" s="20" t="s">
        <v>937</v>
      </c>
      <c r="D104" s="20" t="s">
        <v>925</v>
      </c>
      <c r="E104" s="21">
        <v>100</v>
      </c>
      <c r="F104" s="21" t="s">
        <v>935</v>
      </c>
      <c r="G104" s="21">
        <v>0</v>
      </c>
      <c r="H104" s="21">
        <v>100</v>
      </c>
      <c r="I104" s="21">
        <v>0</v>
      </c>
      <c r="J104" s="21">
        <v>0</v>
      </c>
      <c r="K104" s="22">
        <v>25000</v>
      </c>
      <c r="L104" s="41"/>
    </row>
    <row r="105" spans="1:12" x14ac:dyDescent="0.35">
      <c r="A105" s="20">
        <f t="shared" si="2"/>
        <v>104</v>
      </c>
      <c r="B105" s="10" t="s">
        <v>596</v>
      </c>
      <c r="C105" s="20" t="s">
        <v>938</v>
      </c>
      <c r="D105" s="20" t="s">
        <v>925</v>
      </c>
      <c r="E105" s="21">
        <v>100</v>
      </c>
      <c r="F105" s="21" t="s">
        <v>929</v>
      </c>
      <c r="G105" s="21">
        <v>0</v>
      </c>
      <c r="H105" s="21" t="s">
        <v>930</v>
      </c>
      <c r="I105" s="21">
        <v>0</v>
      </c>
      <c r="J105" s="21">
        <v>0</v>
      </c>
      <c r="K105" s="22">
        <v>4500</v>
      </c>
      <c r="L105" s="41"/>
    </row>
    <row r="106" spans="1:12" x14ac:dyDescent="0.35">
      <c r="A106" s="20">
        <f t="shared" si="2"/>
        <v>105</v>
      </c>
      <c r="B106" s="10" t="s">
        <v>597</v>
      </c>
      <c r="C106" s="20" t="s">
        <v>975</v>
      </c>
      <c r="D106" s="20" t="s">
        <v>974</v>
      </c>
      <c r="E106" s="21">
        <v>100</v>
      </c>
      <c r="F106" s="21" t="s">
        <v>976</v>
      </c>
      <c r="G106" s="21">
        <v>20</v>
      </c>
      <c r="H106" s="21" t="s">
        <v>640</v>
      </c>
      <c r="I106" s="21">
        <v>0</v>
      </c>
      <c r="J106" s="21">
        <v>0</v>
      </c>
      <c r="K106" s="22">
        <v>26000</v>
      </c>
      <c r="L106" s="41"/>
    </row>
    <row r="107" spans="1:12" x14ac:dyDescent="0.35">
      <c r="A107" s="20">
        <f t="shared" si="2"/>
        <v>106</v>
      </c>
      <c r="B107" s="10" t="s">
        <v>598</v>
      </c>
      <c r="C107" s="20" t="s">
        <v>977</v>
      </c>
      <c r="D107" s="20" t="s">
        <v>974</v>
      </c>
      <c r="E107" s="21">
        <v>100</v>
      </c>
      <c r="F107" s="21" t="s">
        <v>978</v>
      </c>
      <c r="G107" s="21">
        <v>21</v>
      </c>
      <c r="H107" s="21" t="s">
        <v>855</v>
      </c>
      <c r="I107" s="21">
        <v>0</v>
      </c>
      <c r="J107" s="21">
        <v>0</v>
      </c>
      <c r="K107" s="22">
        <v>28000</v>
      </c>
      <c r="L107" s="41"/>
    </row>
    <row r="108" spans="1:12" x14ac:dyDescent="0.35">
      <c r="A108" s="20">
        <f t="shared" si="2"/>
        <v>107</v>
      </c>
      <c r="B108" s="10" t="s">
        <v>599</v>
      </c>
      <c r="C108" s="20" t="s">
        <v>979</v>
      </c>
      <c r="D108" s="20" t="s">
        <v>974</v>
      </c>
      <c r="E108" s="21">
        <v>100</v>
      </c>
      <c r="F108" s="21">
        <v>167</v>
      </c>
      <c r="G108" s="21">
        <v>18</v>
      </c>
      <c r="H108" s="21" t="s">
        <v>732</v>
      </c>
      <c r="I108" s="21">
        <v>0</v>
      </c>
      <c r="J108" s="21">
        <v>0</v>
      </c>
      <c r="K108" s="22">
        <v>24000</v>
      </c>
      <c r="L108" s="41"/>
    </row>
    <row r="109" spans="1:12" x14ac:dyDescent="0.35">
      <c r="A109" s="20">
        <f t="shared" si="2"/>
        <v>108</v>
      </c>
      <c r="B109" s="10" t="s">
        <v>600</v>
      </c>
      <c r="C109" s="20" t="s">
        <v>980</v>
      </c>
      <c r="D109" s="20" t="s">
        <v>974</v>
      </c>
      <c r="E109" s="21">
        <v>100</v>
      </c>
      <c r="F109" s="21">
        <v>340</v>
      </c>
      <c r="G109" s="21" t="s">
        <v>981</v>
      </c>
      <c r="H109" s="21">
        <v>30</v>
      </c>
      <c r="I109" s="21">
        <v>0</v>
      </c>
      <c r="J109" s="21">
        <v>0</v>
      </c>
      <c r="K109" s="22">
        <v>25000</v>
      </c>
      <c r="L109" s="41"/>
    </row>
    <row r="110" spans="1:12" x14ac:dyDescent="0.35">
      <c r="A110" s="20">
        <f t="shared" si="2"/>
        <v>109</v>
      </c>
      <c r="B110" s="10" t="s">
        <v>601</v>
      </c>
      <c r="C110" s="20" t="s">
        <v>982</v>
      </c>
      <c r="D110" s="20" t="s">
        <v>974</v>
      </c>
      <c r="E110" s="21">
        <v>100</v>
      </c>
      <c r="F110" s="21">
        <v>219</v>
      </c>
      <c r="G110" s="21" t="s">
        <v>983</v>
      </c>
      <c r="H110" s="21">
        <v>17</v>
      </c>
      <c r="I110" s="21">
        <v>0</v>
      </c>
      <c r="J110" s="21">
        <v>0</v>
      </c>
      <c r="K110" s="22">
        <v>32000</v>
      </c>
      <c r="L110" s="41"/>
    </row>
    <row r="111" spans="1:12" x14ac:dyDescent="0.35">
      <c r="A111" s="20">
        <f t="shared" si="2"/>
        <v>110</v>
      </c>
      <c r="B111" s="10" t="s">
        <v>602</v>
      </c>
      <c r="C111" s="20" t="s">
        <v>984</v>
      </c>
      <c r="D111" s="20" t="s">
        <v>974</v>
      </c>
      <c r="E111" s="21">
        <v>100</v>
      </c>
      <c r="F111" s="21">
        <v>122</v>
      </c>
      <c r="G111" s="21" t="s">
        <v>985</v>
      </c>
      <c r="H111" s="21" t="s">
        <v>709</v>
      </c>
      <c r="I111" s="21">
        <v>0</v>
      </c>
      <c r="J111" s="21">
        <v>0</v>
      </c>
      <c r="K111" s="22">
        <v>28000</v>
      </c>
      <c r="L111" s="41"/>
    </row>
    <row r="112" spans="1:12" x14ac:dyDescent="0.35">
      <c r="A112" s="20">
        <f t="shared" si="2"/>
        <v>111</v>
      </c>
      <c r="B112" s="10" t="s">
        <v>603</v>
      </c>
      <c r="C112" s="20" t="s">
        <v>986</v>
      </c>
      <c r="D112" s="20" t="s">
        <v>974</v>
      </c>
      <c r="E112" s="21">
        <v>100</v>
      </c>
      <c r="F112" s="21">
        <v>141</v>
      </c>
      <c r="G112" s="21" t="s">
        <v>987</v>
      </c>
      <c r="H112" s="21" t="s">
        <v>623</v>
      </c>
      <c r="I112" s="21">
        <v>0</v>
      </c>
      <c r="J112" s="21">
        <v>0</v>
      </c>
      <c r="K112" s="22">
        <v>30000</v>
      </c>
      <c r="L112" s="41"/>
    </row>
    <row r="113" spans="1:12" x14ac:dyDescent="0.35">
      <c r="A113" s="20">
        <f t="shared" si="2"/>
        <v>112</v>
      </c>
      <c r="B113" s="10" t="s">
        <v>604</v>
      </c>
      <c r="C113" s="20" t="s">
        <v>988</v>
      </c>
      <c r="D113" s="20" t="s">
        <v>974</v>
      </c>
      <c r="E113" s="21">
        <v>100</v>
      </c>
      <c r="F113" s="21">
        <v>199</v>
      </c>
      <c r="G113" s="21" t="s">
        <v>989</v>
      </c>
      <c r="H113" s="21" t="s">
        <v>990</v>
      </c>
      <c r="I113" s="21">
        <v>0</v>
      </c>
      <c r="J113" s="21">
        <v>0</v>
      </c>
      <c r="K113" s="22">
        <v>14000</v>
      </c>
      <c r="L113" s="41"/>
    </row>
    <row r="114" spans="1:12" x14ac:dyDescent="0.35">
      <c r="A114" s="20">
        <f t="shared" si="2"/>
        <v>113</v>
      </c>
      <c r="B114" s="10" t="s">
        <v>605</v>
      </c>
      <c r="C114" s="20" t="s">
        <v>991</v>
      </c>
      <c r="D114" s="20" t="s">
        <v>974</v>
      </c>
      <c r="E114" s="21">
        <v>100</v>
      </c>
      <c r="F114" s="21">
        <v>394</v>
      </c>
      <c r="G114" s="21" t="s">
        <v>992</v>
      </c>
      <c r="H114" s="21" t="s">
        <v>993</v>
      </c>
      <c r="I114" s="21">
        <v>0</v>
      </c>
      <c r="J114" s="21">
        <v>0</v>
      </c>
      <c r="K114" s="22">
        <v>7000</v>
      </c>
      <c r="L114" s="41"/>
    </row>
    <row r="115" spans="1:12" x14ac:dyDescent="0.35">
      <c r="A115" s="20">
        <f t="shared" si="2"/>
        <v>114</v>
      </c>
      <c r="B115" s="10" t="s">
        <v>606</v>
      </c>
      <c r="C115" s="20" t="s">
        <v>994</v>
      </c>
      <c r="D115" s="20" t="s">
        <v>974</v>
      </c>
      <c r="E115" s="21">
        <v>100</v>
      </c>
      <c r="F115" s="21" t="s">
        <v>995</v>
      </c>
      <c r="G115" s="21">
        <v>19</v>
      </c>
      <c r="H115" s="21">
        <v>7</v>
      </c>
      <c r="I115" s="21">
        <v>0</v>
      </c>
      <c r="J115" s="21">
        <v>0</v>
      </c>
      <c r="K115" s="22">
        <v>13000</v>
      </c>
      <c r="L115" s="41"/>
    </row>
    <row r="116" spans="1:12" x14ac:dyDescent="0.35">
      <c r="A116" s="20">
        <f t="shared" si="2"/>
        <v>115</v>
      </c>
      <c r="B116" s="10" t="s">
        <v>607</v>
      </c>
      <c r="C116" s="20" t="s">
        <v>996</v>
      </c>
      <c r="D116" s="20" t="s">
        <v>974</v>
      </c>
      <c r="E116" s="21">
        <v>100</v>
      </c>
      <c r="F116" s="21">
        <v>260</v>
      </c>
      <c r="G116" s="21" t="s">
        <v>997</v>
      </c>
      <c r="H116" s="21" t="s">
        <v>998</v>
      </c>
      <c r="I116" s="21">
        <v>0</v>
      </c>
      <c r="J116" s="21">
        <v>0</v>
      </c>
      <c r="K116" s="22">
        <v>11000</v>
      </c>
      <c r="L116" s="41"/>
    </row>
    <row r="117" spans="1:12" x14ac:dyDescent="0.35">
      <c r="A117" s="20">
        <f t="shared" si="2"/>
        <v>116</v>
      </c>
      <c r="B117" s="10" t="s">
        <v>608</v>
      </c>
      <c r="C117" s="20" t="s">
        <v>999</v>
      </c>
      <c r="D117" s="20" t="s">
        <v>974</v>
      </c>
      <c r="E117" s="21">
        <v>100</v>
      </c>
      <c r="F117" s="21">
        <v>409</v>
      </c>
      <c r="G117" s="21">
        <v>14</v>
      </c>
      <c r="H117" s="21" t="s">
        <v>1000</v>
      </c>
      <c r="I117" s="21">
        <v>0</v>
      </c>
      <c r="J117" s="21">
        <v>0</v>
      </c>
      <c r="K117" s="22">
        <v>18000</v>
      </c>
      <c r="L117" s="41"/>
    </row>
    <row r="118" spans="1:12" x14ac:dyDescent="0.35">
      <c r="A118" s="20">
        <f t="shared" si="2"/>
        <v>117</v>
      </c>
      <c r="B118" s="10" t="s">
        <v>609</v>
      </c>
      <c r="C118" s="20" t="s">
        <v>1001</v>
      </c>
      <c r="D118" s="20" t="s">
        <v>974</v>
      </c>
      <c r="E118" s="21">
        <v>100</v>
      </c>
      <c r="F118" s="21" t="s">
        <v>765</v>
      </c>
      <c r="G118" s="21" t="s">
        <v>989</v>
      </c>
      <c r="H118" s="21" t="s">
        <v>642</v>
      </c>
      <c r="I118" s="21">
        <v>0</v>
      </c>
      <c r="J118" s="21">
        <v>0</v>
      </c>
      <c r="K118" s="22">
        <v>25000</v>
      </c>
      <c r="L118" s="41"/>
    </row>
    <row r="119" spans="1:12" x14ac:dyDescent="0.35">
      <c r="A119" s="20">
        <f t="shared" si="2"/>
        <v>118</v>
      </c>
      <c r="B119" s="10" t="s">
        <v>610</v>
      </c>
      <c r="C119" s="20" t="s">
        <v>1002</v>
      </c>
      <c r="D119" s="20" t="s">
        <v>974</v>
      </c>
      <c r="E119" s="21">
        <v>100</v>
      </c>
      <c r="F119" s="21">
        <v>267</v>
      </c>
      <c r="G119" s="21" t="s">
        <v>1003</v>
      </c>
      <c r="H119" s="21" t="s">
        <v>1004</v>
      </c>
      <c r="I119" s="21">
        <v>0</v>
      </c>
      <c r="J119" s="21">
        <v>0</v>
      </c>
      <c r="K119" s="22">
        <v>9000</v>
      </c>
      <c r="L119" s="41"/>
    </row>
    <row r="120" spans="1:12" x14ac:dyDescent="0.35">
      <c r="A120" s="20">
        <f t="shared" si="2"/>
        <v>119</v>
      </c>
      <c r="B120" s="10" t="s">
        <v>611</v>
      </c>
      <c r="C120" s="20" t="s">
        <v>1005</v>
      </c>
      <c r="D120" s="20" t="s">
        <v>974</v>
      </c>
      <c r="E120" s="21">
        <v>100</v>
      </c>
      <c r="F120" s="21">
        <v>326</v>
      </c>
      <c r="G120" s="21" t="s">
        <v>659</v>
      </c>
      <c r="H120" s="21" t="s">
        <v>763</v>
      </c>
      <c r="I120" s="21" t="s">
        <v>1006</v>
      </c>
      <c r="J120" s="21">
        <v>0</v>
      </c>
      <c r="K120" s="22">
        <v>15000</v>
      </c>
      <c r="L120" s="41"/>
    </row>
    <row r="121" spans="1:12" x14ac:dyDescent="0.35">
      <c r="A121" s="20">
        <f t="shared" si="2"/>
        <v>120</v>
      </c>
      <c r="B121" s="10" t="s">
        <v>612</v>
      </c>
      <c r="C121" s="20" t="s">
        <v>1007</v>
      </c>
      <c r="D121" s="20" t="s">
        <v>974</v>
      </c>
      <c r="E121" s="21">
        <v>100</v>
      </c>
      <c r="F121" s="21" t="s">
        <v>1008</v>
      </c>
      <c r="G121" s="21" t="s">
        <v>659</v>
      </c>
      <c r="H121" s="21" t="s">
        <v>1009</v>
      </c>
      <c r="I121" s="21" t="s">
        <v>1010</v>
      </c>
      <c r="J121" s="21">
        <v>0</v>
      </c>
      <c r="K121" s="22">
        <v>16000</v>
      </c>
      <c r="L121" s="41"/>
    </row>
    <row r="122" spans="1:12" x14ac:dyDescent="0.35">
      <c r="A122" s="20">
        <f t="shared" si="2"/>
        <v>121</v>
      </c>
      <c r="B122" s="10" t="s">
        <v>613</v>
      </c>
      <c r="C122" s="20" t="s">
        <v>1011</v>
      </c>
      <c r="D122" s="20" t="s">
        <v>974</v>
      </c>
      <c r="E122" s="21">
        <v>100</v>
      </c>
      <c r="F122" s="21">
        <v>318</v>
      </c>
      <c r="G122" s="21">
        <v>23</v>
      </c>
      <c r="H122" s="21">
        <v>25</v>
      </c>
      <c r="I122" s="21" t="s">
        <v>664</v>
      </c>
      <c r="J122" s="21">
        <v>0</v>
      </c>
      <c r="K122" s="22">
        <v>24000</v>
      </c>
      <c r="L122" s="41"/>
    </row>
    <row r="123" spans="1:12" x14ac:dyDescent="0.35">
      <c r="A123" s="20">
        <f t="shared" si="2"/>
        <v>122</v>
      </c>
      <c r="B123" s="10" t="s">
        <v>614</v>
      </c>
      <c r="C123" s="20" t="s">
        <v>1012</v>
      </c>
      <c r="D123" s="20" t="s">
        <v>974</v>
      </c>
      <c r="E123" s="21">
        <v>100</v>
      </c>
      <c r="F123" s="21">
        <v>335</v>
      </c>
      <c r="G123" s="21" t="s">
        <v>1013</v>
      </c>
      <c r="H123" s="21">
        <v>29</v>
      </c>
      <c r="I123" s="21">
        <v>0</v>
      </c>
      <c r="J123" s="21">
        <v>0</v>
      </c>
      <c r="K123" s="22">
        <v>26000</v>
      </c>
      <c r="L123" s="41"/>
    </row>
    <row r="124" spans="1:12" x14ac:dyDescent="0.35">
      <c r="A124" s="20">
        <f t="shared" si="2"/>
        <v>123</v>
      </c>
      <c r="B124" s="10" t="s">
        <v>615</v>
      </c>
      <c r="C124" s="20" t="s">
        <v>1014</v>
      </c>
      <c r="D124" s="20" t="s">
        <v>974</v>
      </c>
      <c r="E124" s="21">
        <v>100</v>
      </c>
      <c r="F124" s="21">
        <v>205</v>
      </c>
      <c r="G124" s="21" t="s">
        <v>820</v>
      </c>
      <c r="H124" s="21">
        <v>15</v>
      </c>
      <c r="I124" s="21" t="s">
        <v>714</v>
      </c>
      <c r="J124" s="21">
        <v>0</v>
      </c>
      <c r="K124" s="22">
        <v>18000</v>
      </c>
      <c r="L124" s="41"/>
    </row>
    <row r="125" spans="1:12" x14ac:dyDescent="0.35">
      <c r="A125" s="20">
        <f t="shared" si="2"/>
        <v>124</v>
      </c>
      <c r="B125" s="10" t="s">
        <v>616</v>
      </c>
      <c r="C125" s="20" t="s">
        <v>1015</v>
      </c>
      <c r="D125" s="20" t="s">
        <v>974</v>
      </c>
      <c r="E125" s="21">
        <v>100</v>
      </c>
      <c r="F125" s="21">
        <v>585</v>
      </c>
      <c r="G125" s="21" t="s">
        <v>775</v>
      </c>
      <c r="H125" s="21">
        <v>55</v>
      </c>
      <c r="I125" s="21" t="s">
        <v>685</v>
      </c>
      <c r="J125" s="21">
        <v>0</v>
      </c>
      <c r="K125" s="22">
        <v>22000</v>
      </c>
      <c r="L125" s="41"/>
    </row>
    <row r="126" spans="1:12" x14ac:dyDescent="0.35">
      <c r="A126" s="20">
        <f t="shared" si="2"/>
        <v>125</v>
      </c>
      <c r="B126" s="10" t="s">
        <v>617</v>
      </c>
      <c r="C126" s="20" t="s">
        <v>1016</v>
      </c>
      <c r="D126" s="20" t="s">
        <v>974</v>
      </c>
      <c r="E126" s="21">
        <v>100</v>
      </c>
      <c r="F126" s="21">
        <v>125</v>
      </c>
      <c r="G126" s="21" t="s">
        <v>985</v>
      </c>
      <c r="H126" s="21" t="s">
        <v>626</v>
      </c>
      <c r="I126" s="21" t="s">
        <v>667</v>
      </c>
      <c r="J126" s="21">
        <v>0</v>
      </c>
      <c r="K126" s="22">
        <v>25000</v>
      </c>
      <c r="L126" s="41"/>
    </row>
    <row r="127" spans="1:12" x14ac:dyDescent="0.35">
      <c r="A127" s="20">
        <f t="shared" si="2"/>
        <v>126</v>
      </c>
      <c r="B127" s="10" t="s">
        <v>618</v>
      </c>
      <c r="C127" s="20" t="s">
        <v>1018</v>
      </c>
      <c r="D127" s="20" t="s">
        <v>1017</v>
      </c>
      <c r="E127" s="21">
        <v>100</v>
      </c>
      <c r="F127" s="21">
        <v>70</v>
      </c>
      <c r="G127" s="21" t="s">
        <v>1019</v>
      </c>
      <c r="H127" s="21" t="s">
        <v>666</v>
      </c>
      <c r="I127" s="21">
        <v>0</v>
      </c>
      <c r="J127" s="21">
        <v>0</v>
      </c>
      <c r="K127" s="22">
        <v>14000</v>
      </c>
      <c r="L127" s="41"/>
    </row>
    <row r="128" spans="1:12" x14ac:dyDescent="0.35">
      <c r="A128" s="20">
        <f t="shared" si="2"/>
        <v>127</v>
      </c>
      <c r="B128" s="10" t="s">
        <v>619</v>
      </c>
      <c r="C128" s="20" t="s">
        <v>1020</v>
      </c>
      <c r="D128" s="20" t="s">
        <v>1017</v>
      </c>
      <c r="E128" s="21">
        <v>100</v>
      </c>
      <c r="F128" s="21" t="s">
        <v>718</v>
      </c>
      <c r="G128" s="21">
        <v>16</v>
      </c>
      <c r="H128" s="21" t="s">
        <v>628</v>
      </c>
      <c r="I128" s="21">
        <v>0</v>
      </c>
      <c r="J128" s="21">
        <v>0</v>
      </c>
      <c r="K128" s="22">
        <v>8000</v>
      </c>
      <c r="L128" s="41"/>
    </row>
    <row r="129" spans="1:12" x14ac:dyDescent="0.35">
      <c r="A129" s="20">
        <f t="shared" si="2"/>
        <v>128</v>
      </c>
      <c r="B129" s="10" t="s">
        <v>908</v>
      </c>
      <c r="C129" s="20" t="s">
        <v>1021</v>
      </c>
      <c r="D129" s="20" t="s">
        <v>1017</v>
      </c>
      <c r="E129" s="21">
        <v>100</v>
      </c>
      <c r="F129" s="21">
        <v>87</v>
      </c>
      <c r="G129" s="21" t="s">
        <v>780</v>
      </c>
      <c r="H129" s="21" t="s">
        <v>714</v>
      </c>
      <c r="I129" s="21">
        <v>0</v>
      </c>
      <c r="J129" s="21">
        <v>0</v>
      </c>
      <c r="K129" s="22">
        <v>7000</v>
      </c>
      <c r="L129" s="41"/>
    </row>
    <row r="130" spans="1:12" x14ac:dyDescent="0.35">
      <c r="A130" s="20">
        <f t="shared" si="2"/>
        <v>129</v>
      </c>
      <c r="B130" s="10" t="s">
        <v>909</v>
      </c>
      <c r="C130" s="20" t="s">
        <v>1022</v>
      </c>
      <c r="D130" s="20" t="s">
        <v>1017</v>
      </c>
      <c r="E130" s="21">
        <v>100</v>
      </c>
      <c r="F130" s="21">
        <v>136</v>
      </c>
      <c r="G130" s="21">
        <v>22</v>
      </c>
      <c r="H130" s="21" t="s">
        <v>710</v>
      </c>
      <c r="I130" s="21">
        <v>0</v>
      </c>
      <c r="J130" s="21">
        <v>0</v>
      </c>
      <c r="K130" s="22">
        <v>45000</v>
      </c>
      <c r="L130" s="41"/>
    </row>
    <row r="131" spans="1:12" x14ac:dyDescent="0.35">
      <c r="A131" s="20">
        <f t="shared" si="2"/>
        <v>130</v>
      </c>
      <c r="B131" s="10" t="s">
        <v>910</v>
      </c>
      <c r="C131" s="20" t="s">
        <v>1023</v>
      </c>
      <c r="D131" s="20" t="s">
        <v>1017</v>
      </c>
      <c r="E131" s="21">
        <v>100</v>
      </c>
      <c r="F131" s="21" t="s">
        <v>1024</v>
      </c>
      <c r="G131" s="21" t="s">
        <v>1006</v>
      </c>
      <c r="H131" s="21" t="s">
        <v>1026</v>
      </c>
      <c r="I131" s="21">
        <v>0</v>
      </c>
      <c r="J131" s="21">
        <v>0</v>
      </c>
      <c r="K131" s="22">
        <v>5000</v>
      </c>
      <c r="L131" s="41"/>
    </row>
    <row r="132" spans="1:12" x14ac:dyDescent="0.35">
      <c r="A132" s="20">
        <f t="shared" si="2"/>
        <v>131</v>
      </c>
      <c r="B132" s="10" t="s">
        <v>911</v>
      </c>
      <c r="C132" s="20" t="s">
        <v>1025</v>
      </c>
      <c r="D132" s="20" t="s">
        <v>1017</v>
      </c>
      <c r="E132" s="21">
        <v>100</v>
      </c>
      <c r="F132" s="21">
        <v>87</v>
      </c>
      <c r="G132" s="21">
        <v>21</v>
      </c>
      <c r="H132" s="21" t="s">
        <v>664</v>
      </c>
      <c r="I132" s="21">
        <v>0</v>
      </c>
      <c r="J132" s="21">
        <v>0</v>
      </c>
      <c r="K132" s="22">
        <v>11000</v>
      </c>
      <c r="L132" s="41"/>
    </row>
    <row r="133" spans="1:12" x14ac:dyDescent="0.35">
      <c r="A133" s="20">
        <f t="shared" si="2"/>
        <v>132</v>
      </c>
      <c r="B133" s="10" t="s">
        <v>912</v>
      </c>
      <c r="C133" s="20" t="s">
        <v>1027</v>
      </c>
      <c r="D133" s="20" t="s">
        <v>1017</v>
      </c>
      <c r="E133" s="21">
        <v>100</v>
      </c>
      <c r="F133" s="21">
        <v>111</v>
      </c>
      <c r="G133" s="21" t="s">
        <v>1028</v>
      </c>
      <c r="H133" s="21" t="s">
        <v>626</v>
      </c>
      <c r="I133" s="21">
        <v>0</v>
      </c>
      <c r="J133" s="21">
        <v>0</v>
      </c>
      <c r="K133" s="22">
        <v>6000</v>
      </c>
      <c r="L133" s="41"/>
    </row>
    <row r="134" spans="1:12" x14ac:dyDescent="0.35">
      <c r="A134" s="20">
        <f t="shared" si="2"/>
        <v>133</v>
      </c>
      <c r="B134" s="10" t="s">
        <v>913</v>
      </c>
      <c r="C134" s="20" t="s">
        <v>1029</v>
      </c>
      <c r="D134" s="20" t="s">
        <v>1017</v>
      </c>
      <c r="E134" s="21">
        <v>100</v>
      </c>
      <c r="F134" s="21">
        <v>97</v>
      </c>
      <c r="G134" s="21" t="s">
        <v>1013</v>
      </c>
      <c r="H134" s="21" t="s">
        <v>1030</v>
      </c>
      <c r="I134" s="21">
        <v>0</v>
      </c>
      <c r="J134" s="21">
        <v>0</v>
      </c>
      <c r="K134" s="22">
        <v>12000</v>
      </c>
      <c r="L134" s="41"/>
    </row>
    <row r="135" spans="1:12" x14ac:dyDescent="0.35">
      <c r="A135" s="20">
        <f t="shared" si="2"/>
        <v>134</v>
      </c>
      <c r="B135" s="10" t="s">
        <v>914</v>
      </c>
      <c r="C135" s="20" t="s">
        <v>1031</v>
      </c>
      <c r="D135" s="20" t="s">
        <v>1017</v>
      </c>
      <c r="E135" s="21">
        <v>100</v>
      </c>
      <c r="F135" s="21">
        <v>100</v>
      </c>
      <c r="G135" s="21" t="s">
        <v>1032</v>
      </c>
      <c r="H135" s="21" t="s">
        <v>653</v>
      </c>
      <c r="I135" s="21">
        <v>0</v>
      </c>
      <c r="J135" s="21">
        <v>0</v>
      </c>
      <c r="K135" s="22">
        <v>5500</v>
      </c>
      <c r="L135" s="41"/>
    </row>
    <row r="136" spans="1:12" x14ac:dyDescent="0.35">
      <c r="A136" s="20">
        <f t="shared" si="2"/>
        <v>135</v>
      </c>
      <c r="B136" s="10" t="s">
        <v>915</v>
      </c>
      <c r="C136" s="20" t="s">
        <v>1033</v>
      </c>
      <c r="D136" s="20" t="s">
        <v>1017</v>
      </c>
      <c r="E136" s="21">
        <v>100</v>
      </c>
      <c r="F136" s="21">
        <v>166</v>
      </c>
      <c r="G136" s="21" t="s">
        <v>1013</v>
      </c>
      <c r="H136" s="21" t="s">
        <v>794</v>
      </c>
      <c r="I136" s="21">
        <v>0</v>
      </c>
      <c r="J136" s="21">
        <v>0</v>
      </c>
      <c r="K136" s="22">
        <v>20000</v>
      </c>
      <c r="L136" s="41"/>
    </row>
    <row r="137" spans="1:12" x14ac:dyDescent="0.35">
      <c r="A137" s="20">
        <f t="shared" si="2"/>
        <v>136</v>
      </c>
      <c r="B137" s="10" t="s">
        <v>939</v>
      </c>
      <c r="C137" s="20" t="s">
        <v>1034</v>
      </c>
      <c r="D137" s="20" t="s">
        <v>1017</v>
      </c>
      <c r="E137" s="21">
        <v>100</v>
      </c>
      <c r="F137" s="21">
        <v>91</v>
      </c>
      <c r="G137" s="21">
        <v>17</v>
      </c>
      <c r="H137" s="21" t="s">
        <v>648</v>
      </c>
      <c r="I137" s="21">
        <v>0</v>
      </c>
      <c r="J137" s="21">
        <v>0</v>
      </c>
      <c r="K137" s="22">
        <v>9000</v>
      </c>
      <c r="L137" s="41"/>
    </row>
    <row r="138" spans="1:12" x14ac:dyDescent="0.35">
      <c r="A138" s="20">
        <f t="shared" si="2"/>
        <v>137</v>
      </c>
      <c r="B138" s="10" t="s">
        <v>940</v>
      </c>
      <c r="C138" s="20" t="s">
        <v>1035</v>
      </c>
      <c r="D138" s="20" t="s">
        <v>1017</v>
      </c>
      <c r="E138" s="21">
        <v>100</v>
      </c>
      <c r="F138" s="21" t="s">
        <v>1036</v>
      </c>
      <c r="G138" s="21" t="s">
        <v>1037</v>
      </c>
      <c r="H138" s="21" t="s">
        <v>1038</v>
      </c>
      <c r="I138" s="21">
        <v>0</v>
      </c>
      <c r="J138" s="21">
        <v>0</v>
      </c>
      <c r="K138" s="22">
        <v>6000</v>
      </c>
      <c r="L138" s="41"/>
    </row>
    <row r="139" spans="1:12" x14ac:dyDescent="0.35">
      <c r="A139" s="20">
        <f t="shared" si="2"/>
        <v>138</v>
      </c>
      <c r="B139" s="10" t="s">
        <v>941</v>
      </c>
      <c r="C139" s="20" t="s">
        <v>1039</v>
      </c>
      <c r="D139" s="20" t="s">
        <v>1017</v>
      </c>
      <c r="E139" s="21">
        <v>100</v>
      </c>
      <c r="F139" s="21">
        <v>103</v>
      </c>
      <c r="G139" s="21" t="s">
        <v>981</v>
      </c>
      <c r="H139" s="21" t="s">
        <v>637</v>
      </c>
      <c r="I139" s="21">
        <v>7</v>
      </c>
      <c r="J139" s="21">
        <v>0</v>
      </c>
      <c r="K139" s="22">
        <v>45000</v>
      </c>
      <c r="L139" s="41"/>
    </row>
    <row r="140" spans="1:12" x14ac:dyDescent="0.35">
      <c r="A140" s="20">
        <f t="shared" si="2"/>
        <v>139</v>
      </c>
      <c r="B140" s="10" t="s">
        <v>942</v>
      </c>
      <c r="C140" s="20" t="s">
        <v>1040</v>
      </c>
      <c r="D140" s="20" t="s">
        <v>1017</v>
      </c>
      <c r="E140" s="21">
        <v>100</v>
      </c>
      <c r="F140" s="21">
        <v>87</v>
      </c>
      <c r="G140" s="21" t="s">
        <v>1041</v>
      </c>
      <c r="H140" s="21" t="s">
        <v>626</v>
      </c>
      <c r="I140" s="21">
        <v>2</v>
      </c>
      <c r="J140" s="21">
        <v>0</v>
      </c>
      <c r="K140" s="22">
        <v>15000</v>
      </c>
      <c r="L140" s="41"/>
    </row>
    <row r="141" spans="1:12" x14ac:dyDescent="0.35">
      <c r="A141" s="20">
        <f t="shared" si="2"/>
        <v>140</v>
      </c>
      <c r="B141" s="10" t="s">
        <v>943</v>
      </c>
      <c r="C141" s="20" t="s">
        <v>1042</v>
      </c>
      <c r="D141" s="20" t="s">
        <v>1017</v>
      </c>
      <c r="E141" s="21">
        <v>100</v>
      </c>
      <c r="F141" s="21">
        <v>54</v>
      </c>
      <c r="G141" s="21" t="s">
        <v>1043</v>
      </c>
      <c r="H141" s="21" t="s">
        <v>643</v>
      </c>
      <c r="I141" s="21">
        <v>0</v>
      </c>
      <c r="J141" s="21">
        <v>0</v>
      </c>
      <c r="K141" s="22">
        <v>30000</v>
      </c>
      <c r="L141" s="41"/>
    </row>
    <row r="142" spans="1:12" x14ac:dyDescent="0.35">
      <c r="A142" s="20">
        <f t="shared" si="2"/>
        <v>141</v>
      </c>
      <c r="B142" s="10" t="s">
        <v>944</v>
      </c>
      <c r="C142" s="20" t="s">
        <v>1044</v>
      </c>
      <c r="D142" s="20" t="s">
        <v>1017</v>
      </c>
      <c r="E142" s="21">
        <v>100</v>
      </c>
      <c r="F142" s="21">
        <v>90</v>
      </c>
      <c r="G142" s="21" t="s">
        <v>998</v>
      </c>
      <c r="H142" s="21" t="s">
        <v>664</v>
      </c>
      <c r="I142" s="21" t="s">
        <v>661</v>
      </c>
      <c r="J142" s="21">
        <v>0</v>
      </c>
      <c r="K142" s="22">
        <v>60000</v>
      </c>
      <c r="L142" s="41"/>
    </row>
    <row r="143" spans="1:12" x14ac:dyDescent="0.35">
      <c r="A143" s="20">
        <f t="shared" si="2"/>
        <v>142</v>
      </c>
      <c r="B143" s="10" t="s">
        <v>945</v>
      </c>
      <c r="C143" s="20" t="s">
        <v>1045</v>
      </c>
      <c r="D143" s="20" t="s">
        <v>1017</v>
      </c>
      <c r="E143" s="21">
        <v>100</v>
      </c>
      <c r="F143" s="21" t="s">
        <v>898</v>
      </c>
      <c r="G143" s="21" t="s">
        <v>1046</v>
      </c>
      <c r="H143" s="21" t="s">
        <v>643</v>
      </c>
      <c r="I143" s="21" t="s">
        <v>1010</v>
      </c>
      <c r="J143" s="21">
        <v>0</v>
      </c>
      <c r="K143" s="22">
        <v>3500</v>
      </c>
      <c r="L143" s="41"/>
    </row>
    <row r="144" spans="1:12" x14ac:dyDescent="0.35">
      <c r="A144" s="20">
        <f t="shared" si="2"/>
        <v>143</v>
      </c>
      <c r="B144" s="10" t="s">
        <v>946</v>
      </c>
      <c r="C144" s="20" t="s">
        <v>1047</v>
      </c>
      <c r="D144" s="20" t="s">
        <v>1017</v>
      </c>
      <c r="E144" s="21">
        <v>100</v>
      </c>
      <c r="F144" s="21" t="s">
        <v>1062</v>
      </c>
      <c r="G144" s="21" t="s">
        <v>741</v>
      </c>
      <c r="H144" s="21" t="s">
        <v>1046</v>
      </c>
      <c r="I144" s="21" t="s">
        <v>756</v>
      </c>
      <c r="J144" s="21">
        <v>0</v>
      </c>
      <c r="K144" s="22">
        <v>85000</v>
      </c>
      <c r="L144" s="41"/>
    </row>
    <row r="145" spans="1:12" x14ac:dyDescent="0.35">
      <c r="A145" s="20">
        <f t="shared" si="2"/>
        <v>144</v>
      </c>
      <c r="B145" s="10" t="s">
        <v>947</v>
      </c>
      <c r="C145" s="20" t="s">
        <v>1063</v>
      </c>
      <c r="D145" s="20" t="s">
        <v>1017</v>
      </c>
      <c r="E145" s="21">
        <v>100</v>
      </c>
      <c r="F145" s="21">
        <v>73</v>
      </c>
      <c r="G145" s="21" t="s">
        <v>1064</v>
      </c>
      <c r="H145" s="21" t="s">
        <v>663</v>
      </c>
      <c r="I145" s="21">
        <v>0</v>
      </c>
      <c r="J145" s="21">
        <v>0</v>
      </c>
      <c r="K145" s="22">
        <v>22000</v>
      </c>
      <c r="L145" s="41"/>
    </row>
    <row r="146" spans="1:12" x14ac:dyDescent="0.35">
      <c r="A146" s="20">
        <f t="shared" si="2"/>
        <v>145</v>
      </c>
      <c r="B146" s="10" t="s">
        <v>948</v>
      </c>
      <c r="C146" s="20" t="s">
        <v>1065</v>
      </c>
      <c r="D146" s="20" t="s">
        <v>1017</v>
      </c>
      <c r="E146" s="21">
        <v>100</v>
      </c>
      <c r="F146" s="21">
        <v>84</v>
      </c>
      <c r="G146" s="21" t="s">
        <v>1043</v>
      </c>
      <c r="H146" s="21" t="s">
        <v>643</v>
      </c>
      <c r="I146" s="21" t="s">
        <v>1066</v>
      </c>
      <c r="J146" s="21">
        <v>0</v>
      </c>
      <c r="K146" s="22">
        <v>9000</v>
      </c>
      <c r="L146" s="41"/>
    </row>
    <row r="147" spans="1:12" x14ac:dyDescent="0.35">
      <c r="A147" s="20">
        <f t="shared" si="2"/>
        <v>146</v>
      </c>
      <c r="B147" s="10" t="s">
        <v>949</v>
      </c>
      <c r="C147" s="20" t="s">
        <v>1067</v>
      </c>
      <c r="D147" s="20" t="s">
        <v>1017</v>
      </c>
      <c r="E147" s="21">
        <v>100</v>
      </c>
      <c r="F147" s="21">
        <v>72</v>
      </c>
      <c r="G147" s="21" t="s">
        <v>673</v>
      </c>
      <c r="H147" s="21" t="s">
        <v>643</v>
      </c>
      <c r="I147" s="21" t="s">
        <v>709</v>
      </c>
      <c r="J147" s="21">
        <v>0</v>
      </c>
      <c r="K147" s="22">
        <v>3000</v>
      </c>
      <c r="L147" s="41"/>
    </row>
    <row r="148" spans="1:12" x14ac:dyDescent="0.35">
      <c r="A148" s="20">
        <f t="shared" si="2"/>
        <v>147</v>
      </c>
      <c r="B148" s="10" t="s">
        <v>950</v>
      </c>
      <c r="C148" s="20" t="s">
        <v>1068</v>
      </c>
      <c r="D148" s="20" t="s">
        <v>1017</v>
      </c>
      <c r="E148" s="21">
        <v>100</v>
      </c>
      <c r="F148" s="21" t="s">
        <v>1069</v>
      </c>
      <c r="G148" s="21" t="s">
        <v>779</v>
      </c>
      <c r="H148" s="21" t="s">
        <v>663</v>
      </c>
      <c r="I148" s="21" t="s">
        <v>663</v>
      </c>
      <c r="J148" s="21">
        <v>0</v>
      </c>
      <c r="K148" s="22">
        <v>28000</v>
      </c>
      <c r="L148" s="41"/>
    </row>
    <row r="149" spans="1:12" x14ac:dyDescent="0.35">
      <c r="A149" s="20">
        <f t="shared" si="2"/>
        <v>148</v>
      </c>
      <c r="B149" s="10" t="s">
        <v>951</v>
      </c>
      <c r="C149" s="20" t="s">
        <v>1070</v>
      </c>
      <c r="D149" s="20" t="s">
        <v>1017</v>
      </c>
      <c r="E149" s="21">
        <v>100</v>
      </c>
      <c r="F149" s="21">
        <v>90</v>
      </c>
      <c r="G149" s="21" t="s">
        <v>750</v>
      </c>
      <c r="H149" s="21" t="s">
        <v>714</v>
      </c>
      <c r="I149" s="21">
        <v>0</v>
      </c>
      <c r="J149" s="21">
        <v>0</v>
      </c>
      <c r="K149" s="22">
        <v>18000</v>
      </c>
      <c r="L149" s="41"/>
    </row>
    <row r="150" spans="1:12" x14ac:dyDescent="0.35">
      <c r="A150" s="20">
        <f t="shared" si="2"/>
        <v>149</v>
      </c>
      <c r="B150" s="10" t="s">
        <v>952</v>
      </c>
      <c r="C150" s="20" t="s">
        <v>1071</v>
      </c>
      <c r="D150" s="20" t="s">
        <v>1017</v>
      </c>
      <c r="E150" s="21">
        <v>100</v>
      </c>
      <c r="F150" s="21">
        <v>347</v>
      </c>
      <c r="G150" s="21" t="s">
        <v>1072</v>
      </c>
      <c r="H150" s="21" t="s">
        <v>855</v>
      </c>
      <c r="I150" s="21" t="s">
        <v>756</v>
      </c>
      <c r="J150" s="21">
        <v>0</v>
      </c>
      <c r="K150" s="22">
        <v>70000</v>
      </c>
      <c r="L150" s="41"/>
    </row>
    <row r="151" spans="1:12" x14ac:dyDescent="0.35">
      <c r="A151" s="20">
        <f t="shared" si="2"/>
        <v>150</v>
      </c>
      <c r="B151" s="10" t="s">
        <v>953</v>
      </c>
      <c r="C151" s="20" t="s">
        <v>1074</v>
      </c>
      <c r="D151" s="20" t="s">
        <v>1017</v>
      </c>
      <c r="E151" s="21">
        <v>100</v>
      </c>
      <c r="F151" s="21">
        <v>269</v>
      </c>
      <c r="G151" s="21" t="s">
        <v>1075</v>
      </c>
      <c r="H151" s="21">
        <v>3</v>
      </c>
      <c r="I151" s="21" t="s">
        <v>643</v>
      </c>
      <c r="J151" s="21">
        <v>0</v>
      </c>
      <c r="K151" s="22">
        <v>25000</v>
      </c>
      <c r="L151" s="41"/>
    </row>
    <row r="152" spans="1:12" x14ac:dyDescent="0.35">
      <c r="A152" s="20">
        <f t="shared" si="2"/>
        <v>151</v>
      </c>
      <c r="B152" s="10" t="s">
        <v>954</v>
      </c>
      <c r="C152" s="20" t="s">
        <v>1073</v>
      </c>
      <c r="D152" s="20" t="s">
        <v>1017</v>
      </c>
      <c r="E152" s="21">
        <v>100</v>
      </c>
      <c r="F152" s="21">
        <v>305</v>
      </c>
      <c r="G152" s="21" t="s">
        <v>1076</v>
      </c>
      <c r="H152" s="21" t="s">
        <v>693</v>
      </c>
      <c r="I152" s="21" t="s">
        <v>627</v>
      </c>
      <c r="J152" s="21">
        <v>0</v>
      </c>
      <c r="K152" s="22">
        <v>75000</v>
      </c>
      <c r="L152" s="41"/>
    </row>
    <row r="153" spans="1:12" x14ac:dyDescent="0.35">
      <c r="A153" s="20">
        <f t="shared" si="2"/>
        <v>152</v>
      </c>
      <c r="B153" s="10" t="s">
        <v>955</v>
      </c>
      <c r="C153" s="20" t="s">
        <v>1078</v>
      </c>
      <c r="D153" s="20" t="s">
        <v>1077</v>
      </c>
      <c r="E153" s="21">
        <v>100</v>
      </c>
      <c r="F153" s="21">
        <v>150</v>
      </c>
      <c r="G153" s="21" t="s">
        <v>821</v>
      </c>
      <c r="H153" s="21" t="s">
        <v>794</v>
      </c>
      <c r="I153" s="21" t="s">
        <v>655</v>
      </c>
      <c r="J153" s="21">
        <v>0</v>
      </c>
      <c r="K153" s="22">
        <v>8000</v>
      </c>
      <c r="L153" s="41"/>
    </row>
    <row r="154" spans="1:12" x14ac:dyDescent="0.35">
      <c r="A154" s="20">
        <f t="shared" si="2"/>
        <v>153</v>
      </c>
      <c r="B154" s="10" t="s">
        <v>956</v>
      </c>
      <c r="C154" s="20" t="s">
        <v>35</v>
      </c>
      <c r="D154" s="20" t="s">
        <v>1077</v>
      </c>
      <c r="E154" s="21">
        <v>100</v>
      </c>
      <c r="F154" s="21" t="s">
        <v>1079</v>
      </c>
      <c r="G154" s="21" t="s">
        <v>1080</v>
      </c>
      <c r="H154" s="21" t="s">
        <v>1081</v>
      </c>
      <c r="I154" s="21" t="s">
        <v>902</v>
      </c>
      <c r="J154" s="21">
        <v>0</v>
      </c>
      <c r="K154" s="22">
        <v>7000</v>
      </c>
      <c r="L154" s="41"/>
    </row>
    <row r="155" spans="1:12" x14ac:dyDescent="0.35">
      <c r="A155" s="20">
        <f t="shared" si="2"/>
        <v>154</v>
      </c>
      <c r="B155" s="10" t="s">
        <v>957</v>
      </c>
      <c r="C155" s="20" t="s">
        <v>1082</v>
      </c>
      <c r="D155" s="20" t="s">
        <v>1077</v>
      </c>
      <c r="E155" s="21">
        <v>100</v>
      </c>
      <c r="F155" s="21">
        <v>157</v>
      </c>
      <c r="G155" s="21" t="s">
        <v>1083</v>
      </c>
      <c r="H155" s="21" t="s">
        <v>657</v>
      </c>
      <c r="I155" s="21" t="s">
        <v>812</v>
      </c>
      <c r="J155" s="21">
        <v>0</v>
      </c>
      <c r="K155" s="22">
        <v>9000</v>
      </c>
      <c r="L155" s="41"/>
    </row>
    <row r="156" spans="1:12" x14ac:dyDescent="0.35">
      <c r="A156" s="20">
        <f t="shared" si="2"/>
        <v>155</v>
      </c>
      <c r="B156" s="10" t="s">
        <v>958</v>
      </c>
      <c r="C156" s="20" t="s">
        <v>1084</v>
      </c>
      <c r="D156" s="20" t="s">
        <v>1077</v>
      </c>
      <c r="E156" s="21">
        <v>100</v>
      </c>
      <c r="F156" s="21" t="s">
        <v>1085</v>
      </c>
      <c r="G156" s="21" t="s">
        <v>1086</v>
      </c>
      <c r="H156" s="21" t="s">
        <v>788</v>
      </c>
      <c r="I156" s="21">
        <v>0</v>
      </c>
      <c r="J156" s="21">
        <v>0</v>
      </c>
      <c r="K156" s="22">
        <v>16000</v>
      </c>
      <c r="L156" s="41"/>
    </row>
    <row r="157" spans="1:12" x14ac:dyDescent="0.35">
      <c r="A157" s="20">
        <f t="shared" si="2"/>
        <v>156</v>
      </c>
      <c r="B157" s="10" t="s">
        <v>959</v>
      </c>
      <c r="C157" s="20" t="s">
        <v>1087</v>
      </c>
      <c r="D157" s="20" t="s">
        <v>1077</v>
      </c>
      <c r="E157" s="21">
        <v>100</v>
      </c>
      <c r="F157" s="21">
        <v>274</v>
      </c>
      <c r="G157" s="21" t="s">
        <v>763</v>
      </c>
      <c r="H157" s="21" t="s">
        <v>1088</v>
      </c>
      <c r="I157" s="21" t="s">
        <v>481</v>
      </c>
      <c r="J157" s="21">
        <v>0</v>
      </c>
      <c r="K157" s="22">
        <v>250000</v>
      </c>
      <c r="L157" s="41"/>
    </row>
    <row r="158" spans="1:12" x14ac:dyDescent="0.35">
      <c r="A158" s="20">
        <f t="shared" si="2"/>
        <v>157</v>
      </c>
      <c r="B158" s="10" t="s">
        <v>960</v>
      </c>
      <c r="C158" s="20" t="s">
        <v>1089</v>
      </c>
      <c r="D158" s="20" t="s">
        <v>1077</v>
      </c>
      <c r="E158" s="21">
        <v>100</v>
      </c>
      <c r="F158" s="21">
        <v>182</v>
      </c>
      <c r="G158" s="21" t="s">
        <v>1090</v>
      </c>
      <c r="H158" s="21" t="s">
        <v>1091</v>
      </c>
      <c r="I158" s="21">
        <v>4</v>
      </c>
      <c r="J158" s="21">
        <v>0</v>
      </c>
      <c r="K158" s="22">
        <v>10000</v>
      </c>
      <c r="L158" s="41"/>
    </row>
    <row r="159" spans="1:12" x14ac:dyDescent="0.35">
      <c r="A159" s="20">
        <f t="shared" ref="A159:A194" si="3">ROW()-1</f>
        <v>158</v>
      </c>
      <c r="B159" s="10" t="s">
        <v>961</v>
      </c>
      <c r="C159" s="20" t="s">
        <v>1101</v>
      </c>
      <c r="D159" s="20" t="s">
        <v>1077</v>
      </c>
      <c r="E159" s="21">
        <v>100</v>
      </c>
      <c r="F159" s="21" t="s">
        <v>1102</v>
      </c>
      <c r="G159" s="21" t="s">
        <v>1083</v>
      </c>
      <c r="H159" s="21" t="s">
        <v>641</v>
      </c>
      <c r="I159" s="21" t="s">
        <v>714</v>
      </c>
      <c r="J159" s="21">
        <v>0</v>
      </c>
      <c r="K159" s="22">
        <v>5500</v>
      </c>
      <c r="L159" s="41"/>
    </row>
    <row r="160" spans="1:12" x14ac:dyDescent="0.35">
      <c r="A160" s="20">
        <f t="shared" si="3"/>
        <v>159</v>
      </c>
      <c r="B160" s="10" t="s">
        <v>962</v>
      </c>
      <c r="C160" s="20" t="s">
        <v>1103</v>
      </c>
      <c r="D160" s="20" t="s">
        <v>1106</v>
      </c>
      <c r="E160" s="21">
        <v>100</v>
      </c>
      <c r="F160" s="21">
        <v>74</v>
      </c>
      <c r="G160" s="24" t="s">
        <v>621</v>
      </c>
      <c r="H160" s="24" t="s">
        <v>622</v>
      </c>
      <c r="I160" s="10" t="s">
        <v>623</v>
      </c>
      <c r="J160" s="21">
        <v>0</v>
      </c>
      <c r="K160" s="22">
        <v>4000</v>
      </c>
      <c r="L160" s="41"/>
    </row>
    <row r="161" spans="1:12" x14ac:dyDescent="0.35">
      <c r="A161" s="20">
        <f t="shared" si="3"/>
        <v>160</v>
      </c>
      <c r="B161" s="10" t="s">
        <v>963</v>
      </c>
      <c r="C161" s="20" t="s">
        <v>1104</v>
      </c>
      <c r="D161" s="20" t="s">
        <v>1106</v>
      </c>
      <c r="E161" s="21">
        <v>100</v>
      </c>
      <c r="F161" s="21" t="s">
        <v>1105</v>
      </c>
      <c r="G161" s="21" t="s">
        <v>481</v>
      </c>
      <c r="H161" s="21" t="s">
        <v>498</v>
      </c>
      <c r="I161" s="10" t="s">
        <v>1046</v>
      </c>
      <c r="J161" s="21">
        <v>0</v>
      </c>
      <c r="K161" s="22">
        <v>7000</v>
      </c>
      <c r="L161" s="41"/>
    </row>
    <row r="162" spans="1:12" x14ac:dyDescent="0.35">
      <c r="A162" s="20">
        <f t="shared" si="3"/>
        <v>161</v>
      </c>
      <c r="B162" s="10" t="s">
        <v>964</v>
      </c>
      <c r="C162" s="20" t="s">
        <v>36</v>
      </c>
      <c r="D162" s="20" t="s">
        <v>1106</v>
      </c>
      <c r="E162" s="21">
        <v>100</v>
      </c>
      <c r="F162" s="21" t="s">
        <v>625</v>
      </c>
      <c r="G162" s="21" t="s">
        <v>626</v>
      </c>
      <c r="H162" s="21" t="s">
        <v>627</v>
      </c>
      <c r="I162" s="21" t="s">
        <v>628</v>
      </c>
      <c r="J162" s="21">
        <v>0</v>
      </c>
      <c r="K162" s="22">
        <v>7000</v>
      </c>
      <c r="L162" s="41"/>
    </row>
    <row r="163" spans="1:12" x14ac:dyDescent="0.35">
      <c r="A163" s="20">
        <f t="shared" si="3"/>
        <v>162</v>
      </c>
      <c r="B163" s="10" t="s">
        <v>965</v>
      </c>
      <c r="C163" s="20" t="s">
        <v>1107</v>
      </c>
      <c r="D163" s="20" t="s">
        <v>1106</v>
      </c>
      <c r="E163" s="21">
        <v>100</v>
      </c>
      <c r="F163" s="21">
        <v>380</v>
      </c>
      <c r="G163" s="21" t="s">
        <v>1108</v>
      </c>
      <c r="H163" s="21" t="s">
        <v>1109</v>
      </c>
      <c r="I163" s="21">
        <v>0</v>
      </c>
      <c r="J163" s="21">
        <v>0</v>
      </c>
      <c r="K163" s="22">
        <v>32000</v>
      </c>
      <c r="L163" s="41"/>
    </row>
    <row r="164" spans="1:12" x14ac:dyDescent="0.35">
      <c r="A164" s="20">
        <f t="shared" si="3"/>
        <v>163</v>
      </c>
      <c r="B164" s="10" t="s">
        <v>966</v>
      </c>
      <c r="C164" s="20" t="s">
        <v>1110</v>
      </c>
      <c r="D164" s="20" t="s">
        <v>1106</v>
      </c>
      <c r="E164" s="21">
        <v>100</v>
      </c>
      <c r="F164" s="21">
        <v>328</v>
      </c>
      <c r="G164" s="21" t="s">
        <v>644</v>
      </c>
      <c r="H164" s="21" t="s">
        <v>1111</v>
      </c>
      <c r="I164" s="21" t="s">
        <v>1112</v>
      </c>
      <c r="J164" s="21">
        <v>0</v>
      </c>
      <c r="K164" s="22">
        <v>6000</v>
      </c>
      <c r="L164" s="41"/>
    </row>
    <row r="165" spans="1:12" x14ac:dyDescent="0.35">
      <c r="A165" s="20">
        <f t="shared" si="3"/>
        <v>164</v>
      </c>
      <c r="B165" s="10" t="s">
        <v>967</v>
      </c>
      <c r="C165" s="20" t="s">
        <v>1114</v>
      </c>
      <c r="D165" s="20" t="s">
        <v>1113</v>
      </c>
      <c r="E165" s="21">
        <v>100</v>
      </c>
      <c r="F165" s="21" t="s">
        <v>1115</v>
      </c>
      <c r="G165" s="21" t="s">
        <v>667</v>
      </c>
      <c r="H165" s="21" t="s">
        <v>638</v>
      </c>
      <c r="I165" s="21" t="s">
        <v>1116</v>
      </c>
      <c r="J165" s="21">
        <v>0</v>
      </c>
      <c r="K165" s="22">
        <v>9000</v>
      </c>
      <c r="L165" s="41"/>
    </row>
    <row r="166" spans="1:12" x14ac:dyDescent="0.35">
      <c r="A166" s="20">
        <f t="shared" si="3"/>
        <v>165</v>
      </c>
      <c r="B166" s="10" t="s">
        <v>968</v>
      </c>
      <c r="C166" s="20" t="s">
        <v>1117</v>
      </c>
      <c r="D166" s="20" t="s">
        <v>1113</v>
      </c>
      <c r="E166" s="21">
        <v>100</v>
      </c>
      <c r="F166" s="21">
        <v>227</v>
      </c>
      <c r="G166" s="21" t="s">
        <v>855</v>
      </c>
      <c r="H166" s="21">
        <v>11</v>
      </c>
      <c r="I166" s="21" t="s">
        <v>716</v>
      </c>
      <c r="J166" s="21" t="s">
        <v>655</v>
      </c>
      <c r="K166" s="22">
        <v>8000</v>
      </c>
      <c r="L166" s="41"/>
    </row>
    <row r="167" spans="1:12" x14ac:dyDescent="0.35">
      <c r="A167" s="20">
        <f t="shared" si="3"/>
        <v>166</v>
      </c>
      <c r="B167" s="10" t="s">
        <v>969</v>
      </c>
      <c r="C167" s="20" t="s">
        <v>1118</v>
      </c>
      <c r="D167" s="20" t="s">
        <v>1113</v>
      </c>
      <c r="E167" s="21">
        <v>100</v>
      </c>
      <c r="F167" s="21">
        <v>489</v>
      </c>
      <c r="G167" s="21" t="s">
        <v>1010</v>
      </c>
      <c r="H167" s="21" t="s">
        <v>1119</v>
      </c>
      <c r="I167" s="21" t="s">
        <v>1120</v>
      </c>
      <c r="J167" s="21">
        <v>0</v>
      </c>
      <c r="K167" s="22">
        <v>12000</v>
      </c>
      <c r="L167" s="41"/>
    </row>
    <row r="168" spans="1:12" x14ac:dyDescent="0.35">
      <c r="A168" s="20">
        <f t="shared" si="3"/>
        <v>167</v>
      </c>
      <c r="B168" s="10" t="s">
        <v>970</v>
      </c>
      <c r="C168" s="20" t="s">
        <v>1121</v>
      </c>
      <c r="D168" s="20" t="s">
        <v>1113</v>
      </c>
      <c r="E168" s="21">
        <v>100</v>
      </c>
      <c r="F168" s="21" t="s">
        <v>1122</v>
      </c>
      <c r="G168" s="21" t="s">
        <v>767</v>
      </c>
      <c r="H168" s="21" t="s">
        <v>501</v>
      </c>
      <c r="I168" s="21" t="s">
        <v>1123</v>
      </c>
      <c r="J168" s="21">
        <v>0</v>
      </c>
      <c r="K168" s="22">
        <v>15000</v>
      </c>
      <c r="L168" s="41"/>
    </row>
    <row r="169" spans="1:12" x14ac:dyDescent="0.35">
      <c r="A169" s="20">
        <f t="shared" si="3"/>
        <v>168</v>
      </c>
      <c r="B169" s="10" t="s">
        <v>971</v>
      </c>
      <c r="C169" s="20" t="s">
        <v>1124</v>
      </c>
      <c r="D169" s="20" t="s">
        <v>1113</v>
      </c>
      <c r="E169" s="21">
        <v>100</v>
      </c>
      <c r="F169" s="21">
        <v>434</v>
      </c>
      <c r="G169" s="21" t="s">
        <v>733</v>
      </c>
      <c r="H169" s="21" t="s">
        <v>1108</v>
      </c>
      <c r="I169" s="21" t="s">
        <v>1125</v>
      </c>
      <c r="J169" s="21">
        <v>0</v>
      </c>
      <c r="K169" s="22">
        <v>22000</v>
      </c>
      <c r="L169" s="41"/>
    </row>
    <row r="170" spans="1:12" x14ac:dyDescent="0.35">
      <c r="A170" s="20">
        <f t="shared" si="3"/>
        <v>169</v>
      </c>
      <c r="B170" s="10" t="s">
        <v>972</v>
      </c>
      <c r="C170" s="20" t="s">
        <v>1126</v>
      </c>
      <c r="D170" s="20" t="s">
        <v>1113</v>
      </c>
      <c r="E170" s="21">
        <v>100</v>
      </c>
      <c r="F170" s="21">
        <v>383</v>
      </c>
      <c r="G170" s="21" t="s">
        <v>678</v>
      </c>
      <c r="H170" s="21">
        <v>0</v>
      </c>
      <c r="I170" s="21" t="s">
        <v>1127</v>
      </c>
      <c r="J170" s="21">
        <v>0</v>
      </c>
      <c r="K170" s="22">
        <v>2500</v>
      </c>
      <c r="L170" s="41"/>
    </row>
    <row r="171" spans="1:12" x14ac:dyDescent="0.35">
      <c r="A171" s="20">
        <f t="shared" si="3"/>
        <v>170</v>
      </c>
      <c r="B171" s="10" t="s">
        <v>973</v>
      </c>
      <c r="C171" s="20" t="s">
        <v>1128</v>
      </c>
      <c r="D171" s="20" t="s">
        <v>1113</v>
      </c>
      <c r="E171" s="21">
        <v>100</v>
      </c>
      <c r="F171" s="21">
        <v>397</v>
      </c>
      <c r="G171" s="21">
        <v>0</v>
      </c>
      <c r="H171" s="21">
        <v>0</v>
      </c>
      <c r="I171" s="21" t="s">
        <v>1129</v>
      </c>
      <c r="J171" s="21">
        <v>0</v>
      </c>
      <c r="K171" s="22">
        <v>2800</v>
      </c>
      <c r="L171" s="41"/>
    </row>
    <row r="172" spans="1:12" x14ac:dyDescent="0.35">
      <c r="A172" s="20">
        <f t="shared" si="3"/>
        <v>171</v>
      </c>
      <c r="B172" s="10" t="s">
        <v>1048</v>
      </c>
      <c r="C172" s="20" t="s">
        <v>1130</v>
      </c>
      <c r="D172" s="20" t="s">
        <v>1113</v>
      </c>
      <c r="E172" s="21">
        <v>100</v>
      </c>
      <c r="F172" s="21">
        <v>331</v>
      </c>
      <c r="G172" s="21" t="s">
        <v>661</v>
      </c>
      <c r="H172" s="21">
        <v>0</v>
      </c>
      <c r="I172" s="21" t="s">
        <v>1131</v>
      </c>
      <c r="J172" s="21">
        <v>0</v>
      </c>
      <c r="K172" s="22">
        <v>5000</v>
      </c>
      <c r="L172" s="41"/>
    </row>
    <row r="173" spans="1:12" x14ac:dyDescent="0.35">
      <c r="A173" s="20">
        <f t="shared" si="3"/>
        <v>172</v>
      </c>
      <c r="B173" s="10" t="s">
        <v>1049</v>
      </c>
      <c r="C173" s="20" t="s">
        <v>1132</v>
      </c>
      <c r="D173" s="20" t="s">
        <v>1113</v>
      </c>
      <c r="E173" s="21">
        <v>100</v>
      </c>
      <c r="F173" s="21" t="s">
        <v>1133</v>
      </c>
      <c r="G173" s="21" t="s">
        <v>630</v>
      </c>
      <c r="H173" s="21">
        <v>0</v>
      </c>
      <c r="I173" s="21" t="s">
        <v>1134</v>
      </c>
      <c r="J173" s="21">
        <v>0</v>
      </c>
      <c r="K173" s="22">
        <v>20000</v>
      </c>
      <c r="L173" s="41"/>
    </row>
    <row r="174" spans="1:12" x14ac:dyDescent="0.35">
      <c r="A174" s="20">
        <f t="shared" si="3"/>
        <v>173</v>
      </c>
      <c r="B174" s="10" t="s">
        <v>1050</v>
      </c>
      <c r="C174" s="20" t="s">
        <v>1135</v>
      </c>
      <c r="D174" s="20" t="s">
        <v>1113</v>
      </c>
      <c r="E174" s="21">
        <v>100</v>
      </c>
      <c r="F174" s="21">
        <v>378</v>
      </c>
      <c r="G174" s="21" t="s">
        <v>642</v>
      </c>
      <c r="H174" s="21">
        <v>0</v>
      </c>
      <c r="I174" s="21" t="s">
        <v>1136</v>
      </c>
      <c r="J174" s="21">
        <v>0</v>
      </c>
      <c r="K174" s="22">
        <v>10000</v>
      </c>
      <c r="L174" s="41"/>
    </row>
    <row r="175" spans="1:12" x14ac:dyDescent="0.35">
      <c r="A175" s="20">
        <f t="shared" si="3"/>
        <v>174</v>
      </c>
      <c r="B175" s="10" t="s">
        <v>1051</v>
      </c>
      <c r="C175" s="20" t="s">
        <v>1137</v>
      </c>
      <c r="D175" s="20" t="s">
        <v>1113</v>
      </c>
      <c r="E175" s="21">
        <v>100</v>
      </c>
      <c r="F175" s="21" t="s">
        <v>1138</v>
      </c>
      <c r="G175" s="21" t="s">
        <v>640</v>
      </c>
      <c r="H175" s="21">
        <v>0</v>
      </c>
      <c r="I175" s="21" t="s">
        <v>1139</v>
      </c>
      <c r="J175" s="21" t="s">
        <v>664</v>
      </c>
      <c r="K175" s="22">
        <v>9000</v>
      </c>
      <c r="L175" s="41"/>
    </row>
    <row r="176" spans="1:12" x14ac:dyDescent="0.35">
      <c r="A176" s="20">
        <f t="shared" si="3"/>
        <v>175</v>
      </c>
      <c r="B176" s="10" t="s">
        <v>1052</v>
      </c>
      <c r="C176" s="20" t="s">
        <v>1140</v>
      </c>
      <c r="D176" s="20" t="s">
        <v>81</v>
      </c>
      <c r="E176" s="21">
        <v>100</v>
      </c>
      <c r="F176" s="21">
        <v>346</v>
      </c>
      <c r="G176" s="21" t="s">
        <v>1066</v>
      </c>
      <c r="H176" s="21" t="s">
        <v>902</v>
      </c>
      <c r="I176" s="21" t="s">
        <v>682</v>
      </c>
      <c r="J176" s="21" t="s">
        <v>1141</v>
      </c>
      <c r="K176" s="22">
        <v>18000</v>
      </c>
      <c r="L176" s="41"/>
    </row>
    <row r="177" spans="1:12" x14ac:dyDescent="0.35">
      <c r="A177" s="20">
        <f t="shared" si="3"/>
        <v>176</v>
      </c>
      <c r="B177" s="10" t="s">
        <v>1053</v>
      </c>
      <c r="C177" s="20" t="s">
        <v>55</v>
      </c>
      <c r="D177" s="20" t="s">
        <v>81</v>
      </c>
      <c r="E177" s="21">
        <v>100</v>
      </c>
      <c r="F177" s="21">
        <v>41</v>
      </c>
      <c r="G177" s="21" t="s">
        <v>630</v>
      </c>
      <c r="H177" s="21" t="s">
        <v>640</v>
      </c>
      <c r="I177" s="21" t="s">
        <v>1142</v>
      </c>
      <c r="J177" s="21" t="s">
        <v>626</v>
      </c>
      <c r="K177" s="22">
        <v>3000</v>
      </c>
      <c r="L177" s="41"/>
    </row>
    <row r="178" spans="1:12" x14ac:dyDescent="0.35">
      <c r="A178" s="20">
        <f t="shared" si="3"/>
        <v>177</v>
      </c>
      <c r="B178" s="10" t="s">
        <v>1054</v>
      </c>
      <c r="C178" s="20" t="s">
        <v>92</v>
      </c>
      <c r="D178" s="20" t="s">
        <v>81</v>
      </c>
      <c r="E178" s="21">
        <v>100</v>
      </c>
      <c r="F178" s="21">
        <v>365</v>
      </c>
      <c r="G178" s="21">
        <v>7</v>
      </c>
      <c r="H178" s="21" t="s">
        <v>907</v>
      </c>
      <c r="I178" s="21" t="s">
        <v>1143</v>
      </c>
      <c r="J178" s="21" t="s">
        <v>1144</v>
      </c>
      <c r="K178" s="22">
        <v>22000</v>
      </c>
      <c r="L178" s="41"/>
    </row>
    <row r="179" spans="1:12" x14ac:dyDescent="0.35">
      <c r="A179" s="20">
        <f t="shared" si="3"/>
        <v>178</v>
      </c>
      <c r="B179" s="10" t="s">
        <v>1055</v>
      </c>
      <c r="C179" s="20" t="s">
        <v>84</v>
      </c>
      <c r="D179" s="20" t="s">
        <v>81</v>
      </c>
      <c r="E179" s="21">
        <v>100</v>
      </c>
      <c r="F179" s="21">
        <v>1</v>
      </c>
      <c r="G179" s="21">
        <v>0</v>
      </c>
      <c r="H179" s="21">
        <v>0</v>
      </c>
      <c r="I179" s="21">
        <v>0</v>
      </c>
      <c r="J179" s="21">
        <v>0</v>
      </c>
      <c r="K179" s="22">
        <v>1000</v>
      </c>
      <c r="L179" s="41"/>
    </row>
    <row r="180" spans="1:12" x14ac:dyDescent="0.35">
      <c r="A180" s="20">
        <f t="shared" si="3"/>
        <v>179</v>
      </c>
      <c r="B180" s="10" t="s">
        <v>1056</v>
      </c>
      <c r="C180" s="20" t="s">
        <v>1148</v>
      </c>
      <c r="D180" s="20" t="s">
        <v>81</v>
      </c>
      <c r="E180" s="21">
        <v>100</v>
      </c>
      <c r="F180" s="21">
        <v>322</v>
      </c>
      <c r="G180" s="21" t="s">
        <v>922</v>
      </c>
      <c r="H180" s="21" t="s">
        <v>733</v>
      </c>
      <c r="I180" s="21" t="s">
        <v>1145</v>
      </c>
      <c r="J180" s="21" t="s">
        <v>1146</v>
      </c>
      <c r="K180" s="22">
        <v>15000</v>
      </c>
      <c r="L180" s="41"/>
    </row>
    <row r="181" spans="1:12" x14ac:dyDescent="0.35">
      <c r="A181" s="20">
        <f t="shared" si="3"/>
        <v>180</v>
      </c>
      <c r="B181" s="10" t="s">
        <v>1057</v>
      </c>
      <c r="C181" s="20" t="s">
        <v>1147</v>
      </c>
      <c r="D181" s="20" t="s">
        <v>81</v>
      </c>
      <c r="E181" s="21">
        <v>100</v>
      </c>
      <c r="F181" s="21">
        <v>26</v>
      </c>
      <c r="G181" s="21" t="s">
        <v>664</v>
      </c>
      <c r="H181" s="21"/>
      <c r="I181" s="21" t="s">
        <v>823</v>
      </c>
      <c r="J181" s="21" t="s">
        <v>627</v>
      </c>
      <c r="K181" s="22">
        <v>2500</v>
      </c>
      <c r="L181" s="41"/>
    </row>
    <row r="182" spans="1:12" x14ac:dyDescent="0.35">
      <c r="A182" s="20">
        <f t="shared" si="3"/>
        <v>181</v>
      </c>
      <c r="B182" s="10" t="s">
        <v>1058</v>
      </c>
      <c r="C182" s="20" t="s">
        <v>1149</v>
      </c>
      <c r="D182" s="20" t="s">
        <v>81</v>
      </c>
      <c r="E182" s="21">
        <v>100</v>
      </c>
      <c r="F182" s="21" t="s">
        <v>851</v>
      </c>
      <c r="G182" s="21">
        <v>10</v>
      </c>
      <c r="H182" s="21" t="s">
        <v>665</v>
      </c>
      <c r="I182" s="21" t="s">
        <v>694</v>
      </c>
      <c r="J182" s="21"/>
      <c r="K182" s="22">
        <v>4000</v>
      </c>
      <c r="L182" s="41"/>
    </row>
    <row r="183" spans="1:12" x14ac:dyDescent="0.35">
      <c r="A183" s="20">
        <f t="shared" si="3"/>
        <v>182</v>
      </c>
      <c r="B183" s="10" t="s">
        <v>1059</v>
      </c>
      <c r="C183" s="20" t="s">
        <v>1150</v>
      </c>
      <c r="D183" s="20" t="s">
        <v>81</v>
      </c>
      <c r="E183" s="21">
        <v>100</v>
      </c>
      <c r="F183" s="21" t="s">
        <v>1151</v>
      </c>
      <c r="G183" s="21">
        <v>15</v>
      </c>
      <c r="H183" s="21">
        <v>0</v>
      </c>
      <c r="I183" s="21">
        <v>0</v>
      </c>
      <c r="J183" s="21">
        <v>0</v>
      </c>
      <c r="K183" s="22">
        <v>12000</v>
      </c>
      <c r="L183" s="41"/>
    </row>
    <row r="184" spans="1:12" x14ac:dyDescent="0.35">
      <c r="A184" s="20">
        <f t="shared" si="3"/>
        <v>183</v>
      </c>
      <c r="B184" s="10" t="s">
        <v>1060</v>
      </c>
      <c r="C184" s="20" t="s">
        <v>88</v>
      </c>
      <c r="D184" s="20" t="s">
        <v>81</v>
      </c>
      <c r="E184" s="21">
        <v>100</v>
      </c>
      <c r="F184" s="21">
        <v>41</v>
      </c>
      <c r="G184" s="21" t="s">
        <v>640</v>
      </c>
      <c r="H184" s="21" t="s">
        <v>640</v>
      </c>
      <c r="I184" s="21" t="s">
        <v>1142</v>
      </c>
      <c r="J184" s="21" t="s">
        <v>663</v>
      </c>
      <c r="K184" s="22">
        <v>3000</v>
      </c>
      <c r="L184" s="41"/>
    </row>
    <row r="185" spans="1:12" x14ac:dyDescent="0.35">
      <c r="A185" s="20">
        <f>ROW()-1</f>
        <v>184</v>
      </c>
      <c r="B185" s="10" t="s">
        <v>1061</v>
      </c>
      <c r="C185" s="20" t="s">
        <v>86</v>
      </c>
      <c r="D185" s="20" t="s">
        <v>81</v>
      </c>
      <c r="E185" s="21">
        <v>100</v>
      </c>
      <c r="F185" s="21">
        <v>55</v>
      </c>
      <c r="G185" s="21" t="s">
        <v>1152</v>
      </c>
      <c r="H185" s="21">
        <v>0</v>
      </c>
      <c r="I185" s="21" t="s">
        <v>907</v>
      </c>
      <c r="J185" s="21" t="s">
        <v>666</v>
      </c>
      <c r="K185" s="22">
        <v>3500</v>
      </c>
      <c r="L185" s="41"/>
    </row>
    <row r="186" spans="1:12" x14ac:dyDescent="0.35">
      <c r="A186" s="20">
        <f t="shared" si="3"/>
        <v>185</v>
      </c>
      <c r="B186" s="10" t="s">
        <v>1092</v>
      </c>
      <c r="C186" s="20" t="s">
        <v>1153</v>
      </c>
      <c r="D186" s="20" t="s">
        <v>81</v>
      </c>
      <c r="E186" s="21">
        <v>100</v>
      </c>
      <c r="F186" s="21">
        <v>701</v>
      </c>
      <c r="G186" s="21" t="s">
        <v>1154</v>
      </c>
      <c r="H186" s="21">
        <v>0</v>
      </c>
      <c r="I186" s="21" t="s">
        <v>665</v>
      </c>
      <c r="J186" s="21">
        <v>0</v>
      </c>
      <c r="K186" s="22">
        <v>16000</v>
      </c>
      <c r="L186" s="41"/>
    </row>
    <row r="187" spans="1:12" x14ac:dyDescent="0.35">
      <c r="A187" s="20">
        <f t="shared" si="3"/>
        <v>186</v>
      </c>
      <c r="B187" s="10" t="s">
        <v>1093</v>
      </c>
      <c r="C187" s="20" t="s">
        <v>1155</v>
      </c>
      <c r="D187" s="20" t="s">
        <v>81</v>
      </c>
      <c r="E187" s="21">
        <v>100</v>
      </c>
      <c r="F187" s="21" t="s">
        <v>1156</v>
      </c>
      <c r="G187" s="21" t="s">
        <v>1157</v>
      </c>
      <c r="H187" s="21">
        <v>0</v>
      </c>
      <c r="I187" s="21" t="s">
        <v>992</v>
      </c>
      <c r="J187" s="21">
        <v>0</v>
      </c>
      <c r="K187" s="22">
        <v>2000</v>
      </c>
      <c r="L187" s="41"/>
    </row>
    <row r="188" spans="1:12" x14ac:dyDescent="0.35">
      <c r="A188" s="20">
        <f t="shared" si="3"/>
        <v>187</v>
      </c>
      <c r="B188" s="10" t="s">
        <v>1094</v>
      </c>
      <c r="C188" s="20" t="s">
        <v>1158</v>
      </c>
      <c r="D188" s="20" t="s">
        <v>81</v>
      </c>
      <c r="E188" s="21">
        <v>100</v>
      </c>
      <c r="F188" s="21">
        <v>188</v>
      </c>
      <c r="G188" s="21" t="s">
        <v>1083</v>
      </c>
      <c r="H188" s="21" t="s">
        <v>714</v>
      </c>
      <c r="I188" s="21" t="s">
        <v>1159</v>
      </c>
      <c r="J188" s="21" t="s">
        <v>664</v>
      </c>
      <c r="K188" s="22">
        <v>4500</v>
      </c>
      <c r="L188" s="41"/>
    </row>
    <row r="189" spans="1:12" x14ac:dyDescent="0.35">
      <c r="A189" s="20">
        <f t="shared" si="3"/>
        <v>188</v>
      </c>
      <c r="B189" s="10" t="s">
        <v>1095</v>
      </c>
      <c r="C189" s="20" t="s">
        <v>1160</v>
      </c>
      <c r="D189" s="20" t="s">
        <v>81</v>
      </c>
      <c r="E189" s="21">
        <v>100</v>
      </c>
      <c r="F189" s="21">
        <v>282</v>
      </c>
      <c r="G189" s="21">
        <v>0</v>
      </c>
      <c r="H189" s="21">
        <v>0</v>
      </c>
      <c r="I189" s="21">
        <v>0</v>
      </c>
      <c r="J189" s="21">
        <v>0</v>
      </c>
      <c r="K189" s="22">
        <v>5000</v>
      </c>
      <c r="L189" s="41"/>
    </row>
    <row r="190" spans="1:12" x14ac:dyDescent="0.35">
      <c r="A190" s="20">
        <f t="shared" si="3"/>
        <v>189</v>
      </c>
      <c r="B190" s="10" t="s">
        <v>1096</v>
      </c>
      <c r="C190" s="20" t="s">
        <v>1161</v>
      </c>
      <c r="D190" s="20" t="s">
        <v>81</v>
      </c>
      <c r="E190" s="21">
        <v>100</v>
      </c>
      <c r="F190" s="21" t="s">
        <v>1162</v>
      </c>
      <c r="G190" s="21">
        <v>0</v>
      </c>
      <c r="H190" s="21">
        <v>0</v>
      </c>
      <c r="I190" s="21" t="s">
        <v>663</v>
      </c>
      <c r="J190" s="21">
        <v>0</v>
      </c>
      <c r="K190" s="22">
        <v>1500</v>
      </c>
      <c r="L190" s="41"/>
    </row>
    <row r="191" spans="1:12" x14ac:dyDescent="0.35">
      <c r="A191" s="20">
        <f t="shared" si="3"/>
        <v>190</v>
      </c>
      <c r="B191" s="10" t="s">
        <v>1097</v>
      </c>
      <c r="C191" s="20" t="s">
        <v>94</v>
      </c>
      <c r="D191" s="20" t="s">
        <v>81</v>
      </c>
      <c r="E191" s="21">
        <v>100</v>
      </c>
      <c r="F191" s="21" t="s">
        <v>811</v>
      </c>
      <c r="G191" s="21" t="s">
        <v>698</v>
      </c>
      <c r="H191" s="21" t="s">
        <v>661</v>
      </c>
      <c r="I191" s="21" t="s">
        <v>648</v>
      </c>
      <c r="J191" s="21">
        <v>0</v>
      </c>
      <c r="K191" s="22">
        <v>4000</v>
      </c>
      <c r="L191" s="41"/>
    </row>
    <row r="192" spans="1:12" x14ac:dyDescent="0.35">
      <c r="A192" s="20">
        <f t="shared" si="3"/>
        <v>191</v>
      </c>
      <c r="B192" s="10" t="s">
        <v>1098</v>
      </c>
      <c r="C192" s="20" t="s">
        <v>1163</v>
      </c>
      <c r="D192" s="20" t="s">
        <v>81</v>
      </c>
      <c r="E192" s="21">
        <v>100</v>
      </c>
      <c r="F192" s="21">
        <v>1</v>
      </c>
      <c r="G192" s="21" t="s">
        <v>678</v>
      </c>
      <c r="H192" s="21" t="s">
        <v>665</v>
      </c>
      <c r="I192" s="21" t="s">
        <v>1164</v>
      </c>
      <c r="J192" s="21" t="s">
        <v>664</v>
      </c>
      <c r="K192" s="22">
        <v>4500</v>
      </c>
      <c r="L192" s="41"/>
    </row>
    <row r="193" spans="1:12" x14ac:dyDescent="0.35">
      <c r="A193" s="20">
        <f t="shared" si="3"/>
        <v>192</v>
      </c>
      <c r="B193" s="10" t="s">
        <v>1099</v>
      </c>
      <c r="C193" s="20" t="s">
        <v>1165</v>
      </c>
      <c r="D193" s="20" t="s">
        <v>81</v>
      </c>
      <c r="E193" s="21">
        <v>100</v>
      </c>
      <c r="F193" s="21">
        <v>69</v>
      </c>
      <c r="G193" s="21" t="s">
        <v>733</v>
      </c>
      <c r="H193" s="21" t="s">
        <v>626</v>
      </c>
      <c r="I193" s="21" t="s">
        <v>710</v>
      </c>
      <c r="J193" s="21" t="s">
        <v>709</v>
      </c>
      <c r="K193" s="22">
        <v>28000</v>
      </c>
      <c r="L193" s="41"/>
    </row>
    <row r="194" spans="1:12" x14ac:dyDescent="0.35">
      <c r="A194" s="20">
        <f t="shared" si="3"/>
        <v>193</v>
      </c>
      <c r="B194" s="10" t="s">
        <v>1100</v>
      </c>
      <c r="C194" s="20" t="s">
        <v>1166</v>
      </c>
      <c r="D194" s="20" t="s">
        <v>81</v>
      </c>
      <c r="E194" s="21">
        <v>100</v>
      </c>
      <c r="F194" s="21" t="s">
        <v>1167</v>
      </c>
      <c r="G194" s="21" t="s">
        <v>678</v>
      </c>
      <c r="H194" s="21" t="s">
        <v>691</v>
      </c>
      <c r="I194" s="21" t="s">
        <v>498</v>
      </c>
      <c r="J194" s="21">
        <v>0</v>
      </c>
      <c r="K194" s="22">
        <v>6000</v>
      </c>
      <c r="L194" s="41"/>
    </row>
    <row r="195" spans="1:12" x14ac:dyDescent="0.35">
      <c r="B195" s="10"/>
    </row>
    <row r="196" spans="1:12" x14ac:dyDescent="0.35">
      <c r="B196" s="10"/>
    </row>
    <row r="197" spans="1:12" x14ac:dyDescent="0.35">
      <c r="B197" s="10"/>
    </row>
    <row r="198" spans="1:12" x14ac:dyDescent="0.35">
      <c r="B198" s="10"/>
    </row>
  </sheetData>
  <phoneticPr fontId="3" type="noConversion"/>
  <hyperlinks>
    <hyperlink ref="L11" r:id="rId1" xr:uid="{32A0DE8E-77FA-49BA-9888-E7655A427B69}"/>
    <hyperlink ref="L23" r:id="rId2" xr:uid="{5E9F75AE-6D97-410D-842F-9E9249F028D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zoomScaleNormal="100" workbookViewId="0">
      <pane ySplit="1" topLeftCell="A26" activePane="bottomLeft" state="frozen"/>
      <selection pane="bottomLeft" activeCell="F16" sqref="F16"/>
    </sheetView>
  </sheetViews>
  <sheetFormatPr defaultColWidth="8.6328125" defaultRowHeight="15.5" x14ac:dyDescent="0.35"/>
  <cols>
    <col min="1" max="1" width="5" style="6" customWidth="1"/>
    <col min="2" max="2" width="10" style="6" customWidth="1"/>
    <col min="3" max="3" width="33" style="6" customWidth="1"/>
    <col min="4" max="4" width="14" style="6" customWidth="1"/>
    <col min="5" max="5" width="18" style="31" customWidth="1"/>
    <col min="6" max="6" width="13.81640625" style="31" customWidth="1"/>
    <col min="7" max="7" width="22" style="31" customWidth="1"/>
    <col min="8" max="8" width="14" style="31" customWidth="1"/>
    <col min="9" max="9" width="22" style="31" customWidth="1"/>
    <col min="10" max="10" width="14" style="22" customWidth="1"/>
    <col min="11" max="11" width="37.7265625" style="43" customWidth="1"/>
    <col min="12" max="12" width="14" style="6" customWidth="1"/>
    <col min="13" max="13" width="22" style="6" customWidth="1"/>
    <col min="14" max="14" width="14" style="6" customWidth="1"/>
    <col min="15" max="15" width="22" style="6" customWidth="1"/>
    <col min="16" max="16" width="14" style="6" customWidth="1"/>
    <col min="17" max="17" width="18" style="6" customWidth="1"/>
    <col min="18" max="18" width="20" style="6" customWidth="1"/>
    <col min="19" max="19" width="15" style="6" customWidth="1"/>
    <col min="20" max="20" width="14" style="6" customWidth="1"/>
    <col min="21" max="21" width="18" style="6" customWidth="1"/>
    <col min="22" max="22" width="16" style="6" customWidth="1"/>
    <col min="23" max="23" width="18" style="6" customWidth="1"/>
    <col min="24" max="24" width="22" style="6" customWidth="1"/>
    <col min="25" max="25" width="30.26953125" style="6" customWidth="1"/>
    <col min="26" max="16384" width="8.6328125" style="6"/>
  </cols>
  <sheetData>
    <row r="1" spans="1:11" s="19" customFormat="1" ht="30" customHeight="1" x14ac:dyDescent="0.35">
      <c r="A1" s="18" t="s">
        <v>0</v>
      </c>
      <c r="B1" s="18" t="s">
        <v>95</v>
      </c>
      <c r="C1" s="18" t="s">
        <v>95</v>
      </c>
      <c r="D1" s="18" t="s">
        <v>96</v>
      </c>
      <c r="E1" s="18" t="s">
        <v>1275</v>
      </c>
      <c r="F1" s="18" t="s">
        <v>3</v>
      </c>
      <c r="G1" s="18" t="s">
        <v>4</v>
      </c>
      <c r="H1" s="18" t="s">
        <v>5</v>
      </c>
      <c r="I1" s="18" t="s">
        <v>6</v>
      </c>
      <c r="J1" s="18" t="s">
        <v>8</v>
      </c>
      <c r="K1" s="44" t="s">
        <v>1169</v>
      </c>
    </row>
    <row r="2" spans="1:11" x14ac:dyDescent="0.35">
      <c r="A2" s="20">
        <f>ROW()-1</f>
        <v>1</v>
      </c>
      <c r="B2" s="10" t="s">
        <v>1276</v>
      </c>
      <c r="C2" s="26" t="s">
        <v>1224</v>
      </c>
      <c r="D2" s="27" t="s">
        <v>97</v>
      </c>
      <c r="E2" s="29">
        <v>400</v>
      </c>
      <c r="F2" s="30">
        <v>880</v>
      </c>
      <c r="G2" s="30">
        <v>56</v>
      </c>
      <c r="H2" s="30">
        <v>68</v>
      </c>
      <c r="I2" s="30">
        <v>12</v>
      </c>
      <c r="J2" s="32">
        <v>110</v>
      </c>
      <c r="K2" s="41" t="s">
        <v>1326</v>
      </c>
    </row>
    <row r="3" spans="1:11" x14ac:dyDescent="0.35">
      <c r="A3" s="20">
        <f t="shared" ref="A3:A51" si="0">ROW()-1</f>
        <v>2</v>
      </c>
      <c r="B3" s="10" t="s">
        <v>1277</v>
      </c>
      <c r="C3" s="26" t="s">
        <v>1225</v>
      </c>
      <c r="D3" s="27" t="s">
        <v>97</v>
      </c>
      <c r="E3" s="29">
        <v>400</v>
      </c>
      <c r="F3" s="30">
        <v>1.02</v>
      </c>
      <c r="G3" s="30">
        <v>84</v>
      </c>
      <c r="H3" s="30">
        <v>64</v>
      </c>
      <c r="I3" s="30">
        <v>28</v>
      </c>
      <c r="J3" s="33">
        <v>150</v>
      </c>
      <c r="K3" s="41" t="s">
        <v>1327</v>
      </c>
    </row>
    <row r="4" spans="1:11" x14ac:dyDescent="0.35">
      <c r="A4" s="20">
        <f t="shared" si="0"/>
        <v>3</v>
      </c>
      <c r="B4" s="10" t="s">
        <v>1278</v>
      </c>
      <c r="C4" s="26" t="s">
        <v>1226</v>
      </c>
      <c r="D4" s="27" t="s">
        <v>97</v>
      </c>
      <c r="E4" s="29">
        <v>400</v>
      </c>
      <c r="F4" s="30">
        <v>1.24</v>
      </c>
      <c r="G4" s="30">
        <v>60</v>
      </c>
      <c r="H4" s="30">
        <v>108</v>
      </c>
      <c r="I4" s="30">
        <v>8</v>
      </c>
      <c r="J4" s="33">
        <v>120</v>
      </c>
      <c r="K4" s="41" t="s">
        <v>1328</v>
      </c>
    </row>
    <row r="5" spans="1:11" x14ac:dyDescent="0.35">
      <c r="A5" s="20">
        <f t="shared" si="0"/>
        <v>4</v>
      </c>
      <c r="B5" s="10" t="s">
        <v>1279</v>
      </c>
      <c r="C5" s="26" t="s">
        <v>1227</v>
      </c>
      <c r="D5" s="27" t="s">
        <v>97</v>
      </c>
      <c r="E5" s="29">
        <v>400</v>
      </c>
      <c r="F5" s="30">
        <v>960</v>
      </c>
      <c r="G5" s="30">
        <v>68</v>
      </c>
      <c r="H5" s="30">
        <v>72</v>
      </c>
      <c r="I5" s="30">
        <v>10</v>
      </c>
      <c r="J5" s="33">
        <v>95</v>
      </c>
      <c r="K5" s="41" t="s">
        <v>1329</v>
      </c>
    </row>
    <row r="6" spans="1:11" x14ac:dyDescent="0.35">
      <c r="A6" s="20">
        <f t="shared" si="0"/>
        <v>5</v>
      </c>
      <c r="B6" s="10" t="s">
        <v>1280</v>
      </c>
      <c r="C6" s="26" t="s">
        <v>1228</v>
      </c>
      <c r="D6" s="27" t="s">
        <v>97</v>
      </c>
      <c r="E6" s="29">
        <v>400</v>
      </c>
      <c r="F6" s="30">
        <v>1.08</v>
      </c>
      <c r="G6" s="30">
        <v>62</v>
      </c>
      <c r="H6" s="30">
        <v>68</v>
      </c>
      <c r="I6" s="30">
        <v>54</v>
      </c>
      <c r="J6" s="33">
        <v>110</v>
      </c>
      <c r="K6" s="41" t="s">
        <v>1330</v>
      </c>
    </row>
    <row r="7" spans="1:11" x14ac:dyDescent="0.35">
      <c r="A7" s="20">
        <f t="shared" si="0"/>
        <v>6</v>
      </c>
      <c r="B7" s="10" t="s">
        <v>1281</v>
      </c>
      <c r="C7" s="26" t="s">
        <v>1229</v>
      </c>
      <c r="D7" s="27" t="s">
        <v>97</v>
      </c>
      <c r="E7" s="29">
        <v>400</v>
      </c>
      <c r="F7" s="30">
        <v>820</v>
      </c>
      <c r="G7" s="30">
        <v>48</v>
      </c>
      <c r="H7" s="30">
        <v>64</v>
      </c>
      <c r="I7" s="30">
        <v>14</v>
      </c>
      <c r="J7" s="33">
        <v>85</v>
      </c>
      <c r="K7" s="41" t="s">
        <v>1331</v>
      </c>
    </row>
    <row r="8" spans="1:11" x14ac:dyDescent="0.35">
      <c r="A8" s="20">
        <f t="shared" si="0"/>
        <v>7</v>
      </c>
      <c r="B8" s="10" t="s">
        <v>1282</v>
      </c>
      <c r="C8" s="26" t="s">
        <v>1230</v>
      </c>
      <c r="D8" s="27" t="s">
        <v>97</v>
      </c>
      <c r="E8" s="29">
        <v>400</v>
      </c>
      <c r="F8" s="30">
        <v>1.1200000000000001</v>
      </c>
      <c r="G8" s="30">
        <v>76</v>
      </c>
      <c r="H8" s="30">
        <v>60</v>
      </c>
      <c r="I8" s="30">
        <v>68</v>
      </c>
      <c r="J8" s="33">
        <v>95</v>
      </c>
      <c r="K8" s="41" t="s">
        <v>1332</v>
      </c>
    </row>
    <row r="9" spans="1:11" x14ac:dyDescent="0.35">
      <c r="A9" s="20">
        <f t="shared" si="0"/>
        <v>8</v>
      </c>
      <c r="B9" s="10" t="s">
        <v>1283</v>
      </c>
      <c r="C9" s="26" t="s">
        <v>1231</v>
      </c>
      <c r="D9" s="27" t="s">
        <v>97</v>
      </c>
      <c r="E9" s="29">
        <v>400</v>
      </c>
      <c r="F9" s="30">
        <v>980</v>
      </c>
      <c r="G9" s="30">
        <v>72</v>
      </c>
      <c r="H9" s="30">
        <v>56</v>
      </c>
      <c r="I9" s="30">
        <v>48</v>
      </c>
      <c r="J9" s="33">
        <v>120</v>
      </c>
      <c r="K9" s="41" t="s">
        <v>1333</v>
      </c>
    </row>
    <row r="10" spans="1:11" x14ac:dyDescent="0.35">
      <c r="A10" s="20">
        <f t="shared" si="0"/>
        <v>9</v>
      </c>
      <c r="B10" s="10" t="s">
        <v>1284</v>
      </c>
      <c r="C10" s="26" t="s">
        <v>1232</v>
      </c>
      <c r="D10" s="27" t="s">
        <v>97</v>
      </c>
      <c r="E10" s="29">
        <v>400</v>
      </c>
      <c r="F10" s="30">
        <v>740</v>
      </c>
      <c r="G10" s="30">
        <v>88</v>
      </c>
      <c r="H10" s="30">
        <v>36</v>
      </c>
      <c r="I10" s="30">
        <v>16</v>
      </c>
      <c r="J10" s="33">
        <v>90</v>
      </c>
      <c r="K10" s="41" t="s">
        <v>1334</v>
      </c>
    </row>
    <row r="11" spans="1:11" x14ac:dyDescent="0.35">
      <c r="A11" s="20">
        <f t="shared" si="0"/>
        <v>10</v>
      </c>
      <c r="B11" s="10" t="s">
        <v>1285</v>
      </c>
      <c r="C11" s="26" t="s">
        <v>1233</v>
      </c>
      <c r="D11" s="27" t="s">
        <v>97</v>
      </c>
      <c r="E11" s="29">
        <v>400</v>
      </c>
      <c r="F11" s="30">
        <v>680</v>
      </c>
      <c r="G11" s="30">
        <v>76</v>
      </c>
      <c r="H11" s="30">
        <v>32</v>
      </c>
      <c r="I11" s="30">
        <v>22</v>
      </c>
      <c r="J11" s="33">
        <v>135</v>
      </c>
      <c r="K11" s="41" t="s">
        <v>1335</v>
      </c>
    </row>
    <row r="12" spans="1:11" x14ac:dyDescent="0.35">
      <c r="A12" s="20">
        <f t="shared" si="0"/>
        <v>11</v>
      </c>
      <c r="B12" s="10" t="s">
        <v>1286</v>
      </c>
      <c r="C12" s="26" t="s">
        <v>1234</v>
      </c>
      <c r="D12" s="27" t="s">
        <v>97</v>
      </c>
      <c r="E12" s="29">
        <v>400</v>
      </c>
      <c r="F12" s="30">
        <v>580</v>
      </c>
      <c r="G12" s="30">
        <v>72</v>
      </c>
      <c r="H12" s="30">
        <v>28</v>
      </c>
      <c r="I12" s="30">
        <v>12</v>
      </c>
      <c r="J12" s="33">
        <v>105</v>
      </c>
      <c r="K12" s="42" t="s">
        <v>1336</v>
      </c>
    </row>
    <row r="13" spans="1:11" x14ac:dyDescent="0.35">
      <c r="A13" s="20">
        <f t="shared" si="0"/>
        <v>12</v>
      </c>
      <c r="B13" s="10" t="s">
        <v>1287</v>
      </c>
      <c r="C13" s="26" t="s">
        <v>1235</v>
      </c>
      <c r="D13" s="27" t="s">
        <v>97</v>
      </c>
      <c r="E13" s="29">
        <v>400</v>
      </c>
      <c r="F13" s="30">
        <v>620</v>
      </c>
      <c r="G13" s="30">
        <v>78</v>
      </c>
      <c r="H13" s="30">
        <v>30</v>
      </c>
      <c r="I13" s="30">
        <v>10</v>
      </c>
      <c r="J13" s="33">
        <v>155</v>
      </c>
      <c r="K13" s="41" t="s">
        <v>1337</v>
      </c>
    </row>
    <row r="14" spans="1:11" x14ac:dyDescent="0.35">
      <c r="A14" s="20">
        <f t="shared" si="0"/>
        <v>13</v>
      </c>
      <c r="B14" s="10" t="s">
        <v>1288</v>
      </c>
      <c r="C14" s="26" t="s">
        <v>1236</v>
      </c>
      <c r="D14" s="27" t="s">
        <v>97</v>
      </c>
      <c r="E14" s="29">
        <v>400</v>
      </c>
      <c r="F14" s="30">
        <v>840</v>
      </c>
      <c r="G14" s="30">
        <v>68</v>
      </c>
      <c r="H14" s="30">
        <v>58</v>
      </c>
      <c r="I14" s="30">
        <v>12</v>
      </c>
      <c r="J14" s="33">
        <v>90</v>
      </c>
      <c r="K14" s="41" t="s">
        <v>1338</v>
      </c>
    </row>
    <row r="15" spans="1:11" x14ac:dyDescent="0.35">
      <c r="A15" s="20">
        <f t="shared" si="0"/>
        <v>14</v>
      </c>
      <c r="B15" s="10" t="s">
        <v>1289</v>
      </c>
      <c r="C15" s="26" t="s">
        <v>1237</v>
      </c>
      <c r="D15" s="27" t="s">
        <v>97</v>
      </c>
      <c r="E15" s="29">
        <v>400</v>
      </c>
      <c r="F15" s="30">
        <v>1.42</v>
      </c>
      <c r="G15" s="30">
        <v>74</v>
      </c>
      <c r="H15" s="30">
        <v>124</v>
      </c>
      <c r="I15" s="30">
        <v>4</v>
      </c>
      <c r="J15" s="33">
        <v>110</v>
      </c>
      <c r="K15" s="41" t="s">
        <v>1339</v>
      </c>
    </row>
    <row r="16" spans="1:11" x14ac:dyDescent="0.35">
      <c r="A16" s="20">
        <f t="shared" si="0"/>
        <v>15</v>
      </c>
      <c r="B16" s="10" t="s">
        <v>1290</v>
      </c>
      <c r="C16" s="26" t="s">
        <v>1238</v>
      </c>
      <c r="D16" s="27" t="s">
        <v>98</v>
      </c>
      <c r="E16" s="29">
        <v>400</v>
      </c>
      <c r="F16" s="30">
        <v>340</v>
      </c>
      <c r="G16" s="30">
        <v>38</v>
      </c>
      <c r="H16" s="30">
        <v>16</v>
      </c>
      <c r="I16" s="30">
        <v>12</v>
      </c>
      <c r="J16" s="33">
        <v>80</v>
      </c>
      <c r="K16" s="43" t="s">
        <v>1341</v>
      </c>
    </row>
    <row r="17" spans="1:11" x14ac:dyDescent="0.35">
      <c r="A17" s="20">
        <f t="shared" si="0"/>
        <v>16</v>
      </c>
      <c r="B17" s="10" t="s">
        <v>1291</v>
      </c>
      <c r="C17" s="26" t="s">
        <v>1239</v>
      </c>
      <c r="D17" s="27" t="s">
        <v>97</v>
      </c>
      <c r="E17" s="29">
        <v>400</v>
      </c>
      <c r="F17" s="30">
        <v>780</v>
      </c>
      <c r="G17" s="30">
        <v>76</v>
      </c>
      <c r="H17" s="30">
        <v>48</v>
      </c>
      <c r="I17" s="30">
        <v>10</v>
      </c>
      <c r="J17" s="33">
        <v>120</v>
      </c>
      <c r="K17" s="41" t="s">
        <v>1340</v>
      </c>
    </row>
    <row r="18" spans="1:11" x14ac:dyDescent="0.35">
      <c r="A18" s="20">
        <f t="shared" si="0"/>
        <v>17</v>
      </c>
      <c r="B18" s="10" t="s">
        <v>1292</v>
      </c>
      <c r="C18" s="26" t="s">
        <v>1240</v>
      </c>
      <c r="D18" s="27" t="s">
        <v>97</v>
      </c>
      <c r="E18" s="29">
        <v>400</v>
      </c>
      <c r="F18" s="30">
        <v>1.04</v>
      </c>
      <c r="G18" s="30">
        <v>82</v>
      </c>
      <c r="H18" s="30">
        <v>74</v>
      </c>
      <c r="I18" s="30">
        <v>12</v>
      </c>
      <c r="J18" s="33">
        <v>110</v>
      </c>
      <c r="K18" s="41" t="s">
        <v>1342</v>
      </c>
    </row>
    <row r="19" spans="1:11" s="37" customFormat="1" x14ac:dyDescent="0.35">
      <c r="A19" s="34">
        <f t="shared" si="0"/>
        <v>18</v>
      </c>
      <c r="B19" s="10" t="s">
        <v>1293</v>
      </c>
      <c r="C19" s="35" t="s">
        <v>1241</v>
      </c>
      <c r="D19" s="27" t="s">
        <v>97</v>
      </c>
      <c r="E19" s="29">
        <v>400</v>
      </c>
      <c r="F19" s="30">
        <v>540</v>
      </c>
      <c r="G19" s="30">
        <v>92</v>
      </c>
      <c r="H19" s="30">
        <v>14</v>
      </c>
      <c r="I19" s="30">
        <v>12</v>
      </c>
      <c r="J19" s="36">
        <v>95</v>
      </c>
      <c r="K19" s="45" t="s">
        <v>1343</v>
      </c>
    </row>
    <row r="20" spans="1:11" x14ac:dyDescent="0.35">
      <c r="A20" s="20">
        <f t="shared" si="0"/>
        <v>19</v>
      </c>
      <c r="B20" s="10" t="s">
        <v>1294</v>
      </c>
      <c r="C20" s="26" t="s">
        <v>1242</v>
      </c>
      <c r="D20" s="27" t="s">
        <v>97</v>
      </c>
      <c r="E20" s="29">
        <v>400</v>
      </c>
      <c r="F20" s="30">
        <v>760</v>
      </c>
      <c r="G20" s="30">
        <v>84</v>
      </c>
      <c r="H20" s="30">
        <v>44</v>
      </c>
      <c r="I20" s="30">
        <v>2</v>
      </c>
      <c r="J20" s="33">
        <v>160</v>
      </c>
      <c r="K20" s="41" t="s">
        <v>1344</v>
      </c>
    </row>
    <row r="21" spans="1:11" x14ac:dyDescent="0.35">
      <c r="A21" s="20">
        <f t="shared" si="0"/>
        <v>20</v>
      </c>
      <c r="B21" s="10" t="s">
        <v>1295</v>
      </c>
      <c r="C21" s="26" t="s">
        <v>1243</v>
      </c>
      <c r="D21" s="27" t="s">
        <v>97</v>
      </c>
      <c r="E21" s="29">
        <v>400</v>
      </c>
      <c r="F21" s="30">
        <v>1.18</v>
      </c>
      <c r="G21" s="30">
        <v>64</v>
      </c>
      <c r="H21" s="30">
        <v>46</v>
      </c>
      <c r="I21" s="30">
        <v>128</v>
      </c>
      <c r="J21" s="33">
        <v>400</v>
      </c>
      <c r="K21" s="41" t="s">
        <v>1345</v>
      </c>
    </row>
    <row r="22" spans="1:11" x14ac:dyDescent="0.35">
      <c r="A22" s="20">
        <f t="shared" si="0"/>
        <v>21</v>
      </c>
      <c r="B22" s="10" t="s">
        <v>1296</v>
      </c>
      <c r="C22" s="26" t="s">
        <v>1244</v>
      </c>
      <c r="D22" s="27" t="s">
        <v>97</v>
      </c>
      <c r="E22" s="29">
        <v>400</v>
      </c>
      <c r="F22" s="30">
        <v>920</v>
      </c>
      <c r="G22" s="30">
        <v>78</v>
      </c>
      <c r="H22" s="30">
        <v>56</v>
      </c>
      <c r="I22" s="30">
        <v>26</v>
      </c>
      <c r="J22" s="33">
        <v>115</v>
      </c>
      <c r="K22" s="41" t="s">
        <v>1346</v>
      </c>
    </row>
    <row r="23" spans="1:11" x14ac:dyDescent="0.35">
      <c r="A23" s="20">
        <f t="shared" si="0"/>
        <v>22</v>
      </c>
      <c r="B23" s="10" t="s">
        <v>1297</v>
      </c>
      <c r="C23" s="26" t="s">
        <v>1245</v>
      </c>
      <c r="D23" s="27" t="s">
        <v>97</v>
      </c>
      <c r="E23" s="29">
        <v>400</v>
      </c>
      <c r="F23" s="30">
        <v>680</v>
      </c>
      <c r="G23" s="30">
        <v>58</v>
      </c>
      <c r="H23" s="30">
        <v>42</v>
      </c>
      <c r="I23" s="30">
        <v>18</v>
      </c>
      <c r="J23" s="33">
        <v>95</v>
      </c>
      <c r="K23" s="41"/>
    </row>
    <row r="24" spans="1:11" x14ac:dyDescent="0.35">
      <c r="A24" s="20">
        <f t="shared" si="0"/>
        <v>23</v>
      </c>
      <c r="B24" s="10" t="s">
        <v>1298</v>
      </c>
      <c r="C24" s="26" t="s">
        <v>1246</v>
      </c>
      <c r="D24" s="27" t="s">
        <v>97</v>
      </c>
      <c r="E24" s="29">
        <v>400</v>
      </c>
      <c r="F24" s="30">
        <v>940</v>
      </c>
      <c r="G24" s="30">
        <v>68</v>
      </c>
      <c r="H24" s="30">
        <v>72</v>
      </c>
      <c r="I24" s="30">
        <v>6</v>
      </c>
      <c r="J24" s="33">
        <v>95</v>
      </c>
      <c r="K24" s="41"/>
    </row>
    <row r="25" spans="1:11" x14ac:dyDescent="0.35">
      <c r="A25" s="20">
        <f t="shared" si="0"/>
        <v>24</v>
      </c>
      <c r="B25" s="10" t="s">
        <v>1299</v>
      </c>
      <c r="C25" s="26" t="s">
        <v>1247</v>
      </c>
      <c r="D25" s="27" t="s">
        <v>97</v>
      </c>
      <c r="E25" s="29">
        <v>400</v>
      </c>
      <c r="F25" s="30">
        <v>1.22</v>
      </c>
      <c r="G25" s="30">
        <v>76</v>
      </c>
      <c r="H25" s="30">
        <v>98</v>
      </c>
      <c r="I25" s="30">
        <v>8</v>
      </c>
      <c r="J25" s="33">
        <v>180</v>
      </c>
      <c r="K25" s="41"/>
    </row>
    <row r="26" spans="1:11" x14ac:dyDescent="0.35">
      <c r="A26" s="20">
        <f t="shared" si="0"/>
        <v>25</v>
      </c>
      <c r="B26" s="10" t="s">
        <v>1300</v>
      </c>
      <c r="C26" s="26" t="s">
        <v>1248</v>
      </c>
      <c r="D26" s="27" t="s">
        <v>97</v>
      </c>
      <c r="E26" s="29">
        <v>400</v>
      </c>
      <c r="F26" s="30">
        <v>460</v>
      </c>
      <c r="G26" s="30">
        <v>52</v>
      </c>
      <c r="H26" s="30">
        <v>22</v>
      </c>
      <c r="I26" s="30">
        <v>14</v>
      </c>
      <c r="J26" s="33">
        <v>120</v>
      </c>
      <c r="K26" s="41"/>
    </row>
    <row r="27" spans="1:11" x14ac:dyDescent="0.35">
      <c r="A27" s="20">
        <f t="shared" si="0"/>
        <v>26</v>
      </c>
      <c r="B27" s="10" t="s">
        <v>1301</v>
      </c>
      <c r="C27" s="26" t="s">
        <v>1249</v>
      </c>
      <c r="D27" s="27" t="s">
        <v>97</v>
      </c>
      <c r="E27" s="29">
        <v>400</v>
      </c>
      <c r="F27" s="30">
        <v>720</v>
      </c>
      <c r="G27" s="30">
        <v>64</v>
      </c>
      <c r="H27" s="30">
        <v>46</v>
      </c>
      <c r="I27" s="30">
        <v>12</v>
      </c>
      <c r="J27" s="33">
        <v>75</v>
      </c>
      <c r="K27" s="41"/>
    </row>
    <row r="28" spans="1:11" x14ac:dyDescent="0.35">
      <c r="A28" s="20">
        <f t="shared" si="0"/>
        <v>27</v>
      </c>
      <c r="B28" s="10" t="s">
        <v>1302</v>
      </c>
      <c r="C28" s="26" t="s">
        <v>1250</v>
      </c>
      <c r="D28" s="27" t="s">
        <v>97</v>
      </c>
      <c r="E28" s="29">
        <v>400</v>
      </c>
      <c r="F28" s="30">
        <v>680</v>
      </c>
      <c r="G28" s="30">
        <v>72</v>
      </c>
      <c r="H28" s="30">
        <v>34</v>
      </c>
      <c r="I28" s="30">
        <v>20</v>
      </c>
      <c r="J28" s="33">
        <v>90</v>
      </c>
      <c r="K28" s="41"/>
    </row>
    <row r="29" spans="1:11" x14ac:dyDescent="0.35">
      <c r="A29" s="20">
        <f t="shared" si="0"/>
        <v>28</v>
      </c>
      <c r="B29" s="10" t="s">
        <v>1303</v>
      </c>
      <c r="C29" s="26" t="s">
        <v>1251</v>
      </c>
      <c r="D29" s="27" t="s">
        <v>97</v>
      </c>
      <c r="E29" s="29">
        <v>400</v>
      </c>
      <c r="F29" s="30">
        <v>840</v>
      </c>
      <c r="G29" s="30">
        <v>78</v>
      </c>
      <c r="H29" s="30">
        <v>54</v>
      </c>
      <c r="I29" s="30">
        <v>10</v>
      </c>
      <c r="J29" s="33">
        <v>140</v>
      </c>
      <c r="K29" s="41"/>
    </row>
    <row r="30" spans="1:11" x14ac:dyDescent="0.35">
      <c r="A30" s="20">
        <f t="shared" si="0"/>
        <v>29</v>
      </c>
      <c r="B30" s="10" t="s">
        <v>1304</v>
      </c>
      <c r="C30" s="26" t="s">
        <v>1252</v>
      </c>
      <c r="D30" s="27" t="s">
        <v>97</v>
      </c>
      <c r="E30" s="29">
        <v>400</v>
      </c>
      <c r="F30" s="30">
        <v>760</v>
      </c>
      <c r="G30" s="30">
        <v>82</v>
      </c>
      <c r="H30" s="30">
        <v>42</v>
      </c>
      <c r="I30" s="30">
        <v>14</v>
      </c>
      <c r="J30" s="33">
        <v>135</v>
      </c>
      <c r="K30" s="41"/>
    </row>
    <row r="31" spans="1:11" x14ac:dyDescent="0.35">
      <c r="A31" s="20">
        <f t="shared" si="0"/>
        <v>30</v>
      </c>
      <c r="B31" s="10" t="s">
        <v>1305</v>
      </c>
      <c r="C31" s="26" t="s">
        <v>1253</v>
      </c>
      <c r="D31" s="27" t="s">
        <v>97</v>
      </c>
      <c r="E31" s="29">
        <v>400</v>
      </c>
      <c r="F31" s="30">
        <v>580</v>
      </c>
      <c r="G31" s="30">
        <v>58</v>
      </c>
      <c r="H31" s="30">
        <v>34</v>
      </c>
      <c r="I31" s="30">
        <v>12</v>
      </c>
      <c r="J31" s="33">
        <v>85</v>
      </c>
      <c r="K31" s="41"/>
    </row>
    <row r="32" spans="1:11" x14ac:dyDescent="0.35">
      <c r="A32" s="20">
        <f t="shared" si="0"/>
        <v>31</v>
      </c>
      <c r="B32" s="10" t="s">
        <v>1306</v>
      </c>
      <c r="C32" s="26" t="s">
        <v>1254</v>
      </c>
      <c r="D32" s="27" t="s">
        <v>97</v>
      </c>
      <c r="E32" s="29">
        <v>400</v>
      </c>
      <c r="F32" s="30">
        <v>940</v>
      </c>
      <c r="G32" s="30">
        <v>66</v>
      </c>
      <c r="H32" s="30">
        <v>68</v>
      </c>
      <c r="I32" s="30">
        <v>16</v>
      </c>
      <c r="J32" s="33">
        <v>95</v>
      </c>
      <c r="K32" s="41"/>
    </row>
    <row r="33" spans="1:11" x14ac:dyDescent="0.35">
      <c r="A33" s="20">
        <f t="shared" si="0"/>
        <v>32</v>
      </c>
      <c r="B33" s="10" t="s">
        <v>1307</v>
      </c>
      <c r="C33" s="26" t="s">
        <v>1255</v>
      </c>
      <c r="D33" s="27" t="s">
        <v>97</v>
      </c>
      <c r="E33" s="29">
        <v>400</v>
      </c>
      <c r="F33" s="30">
        <v>360</v>
      </c>
      <c r="G33" s="30">
        <v>68</v>
      </c>
      <c r="H33" s="30">
        <v>4</v>
      </c>
      <c r="I33" s="30">
        <v>12</v>
      </c>
      <c r="J33" s="33">
        <v>180</v>
      </c>
      <c r="K33" s="41"/>
    </row>
    <row r="34" spans="1:11" x14ac:dyDescent="0.35">
      <c r="A34" s="20">
        <f t="shared" si="0"/>
        <v>33</v>
      </c>
      <c r="B34" s="10" t="s">
        <v>1308</v>
      </c>
      <c r="C34" s="26" t="s">
        <v>1256</v>
      </c>
      <c r="D34" s="27" t="s">
        <v>97</v>
      </c>
      <c r="E34" s="29">
        <v>400</v>
      </c>
      <c r="F34" s="30">
        <v>640</v>
      </c>
      <c r="G34" s="30">
        <v>62</v>
      </c>
      <c r="H34" s="30">
        <v>36</v>
      </c>
      <c r="I34" s="30">
        <v>18</v>
      </c>
      <c r="J34" s="33">
        <v>130</v>
      </c>
      <c r="K34" s="41"/>
    </row>
    <row r="35" spans="1:11" ht="31" x14ac:dyDescent="0.35">
      <c r="A35" s="20">
        <f t="shared" si="0"/>
        <v>34</v>
      </c>
      <c r="B35" s="10" t="s">
        <v>1309</v>
      </c>
      <c r="C35" s="26" t="s">
        <v>1257</v>
      </c>
      <c r="D35" s="27" t="s">
        <v>97</v>
      </c>
      <c r="E35" s="29">
        <v>400</v>
      </c>
      <c r="F35" s="30">
        <v>480</v>
      </c>
      <c r="G35" s="30">
        <v>54</v>
      </c>
      <c r="H35" s="30">
        <v>24</v>
      </c>
      <c r="I35" s="30">
        <v>12</v>
      </c>
      <c r="J35" s="33">
        <v>80</v>
      </c>
      <c r="K35" s="41"/>
    </row>
    <row r="36" spans="1:11" ht="31" x14ac:dyDescent="0.35">
      <c r="A36" s="20">
        <f t="shared" si="0"/>
        <v>35</v>
      </c>
      <c r="B36" s="10" t="s">
        <v>1310</v>
      </c>
      <c r="C36" s="26" t="s">
        <v>1258</v>
      </c>
      <c r="D36" s="27" t="s">
        <v>97</v>
      </c>
      <c r="E36" s="29">
        <v>400</v>
      </c>
      <c r="F36" s="30">
        <v>980</v>
      </c>
      <c r="G36" s="30">
        <v>58</v>
      </c>
      <c r="H36" s="30">
        <v>66</v>
      </c>
      <c r="I36" s="30">
        <v>38</v>
      </c>
      <c r="J36" s="33">
        <v>165</v>
      </c>
      <c r="K36" s="41"/>
    </row>
    <row r="37" spans="1:11" x14ac:dyDescent="0.35">
      <c r="A37" s="20">
        <f t="shared" si="0"/>
        <v>36</v>
      </c>
      <c r="B37" s="10" t="s">
        <v>1311</v>
      </c>
      <c r="C37" s="26" t="s">
        <v>1259</v>
      </c>
      <c r="D37" s="27" t="s">
        <v>98</v>
      </c>
      <c r="E37" s="29">
        <v>400</v>
      </c>
      <c r="F37" s="30">
        <v>260</v>
      </c>
      <c r="G37" s="30">
        <v>28</v>
      </c>
      <c r="H37" s="30">
        <v>10</v>
      </c>
      <c r="I37" s="30">
        <v>14</v>
      </c>
      <c r="J37" s="33">
        <v>75</v>
      </c>
      <c r="K37" s="41"/>
    </row>
    <row r="38" spans="1:11" x14ac:dyDescent="0.35">
      <c r="A38" s="20">
        <f t="shared" si="0"/>
        <v>37</v>
      </c>
      <c r="B38" s="10" t="s">
        <v>1312</v>
      </c>
      <c r="C38" s="26" t="s">
        <v>1260</v>
      </c>
      <c r="D38" s="27" t="s">
        <v>98</v>
      </c>
      <c r="E38" s="29">
        <v>400</v>
      </c>
      <c r="F38" s="30">
        <v>120</v>
      </c>
      <c r="G38" s="30">
        <v>12</v>
      </c>
      <c r="H38" s="30">
        <v>4</v>
      </c>
      <c r="I38" s="30">
        <v>8</v>
      </c>
      <c r="J38" s="33">
        <v>65</v>
      </c>
      <c r="K38" s="41"/>
    </row>
    <row r="39" spans="1:11" x14ac:dyDescent="0.35">
      <c r="A39" s="20">
        <f t="shared" si="0"/>
        <v>38</v>
      </c>
      <c r="B39" s="10" t="s">
        <v>1313</v>
      </c>
      <c r="C39" s="26" t="s">
        <v>1261</v>
      </c>
      <c r="D39" s="27" t="s">
        <v>98</v>
      </c>
      <c r="E39" s="29">
        <v>400</v>
      </c>
      <c r="F39" s="30">
        <v>380</v>
      </c>
      <c r="G39" s="30">
        <v>26</v>
      </c>
      <c r="H39" s="30">
        <v>22</v>
      </c>
      <c r="I39" s="30">
        <v>20</v>
      </c>
      <c r="J39" s="33">
        <v>100</v>
      </c>
      <c r="K39" s="41"/>
    </row>
    <row r="40" spans="1:11" x14ac:dyDescent="0.35">
      <c r="A40" s="20">
        <f t="shared" si="0"/>
        <v>39</v>
      </c>
      <c r="B40" s="10" t="s">
        <v>1314</v>
      </c>
      <c r="C40" s="26" t="s">
        <v>1262</v>
      </c>
      <c r="D40" s="27" t="s">
        <v>98</v>
      </c>
      <c r="E40" s="29">
        <v>400</v>
      </c>
      <c r="F40" s="30">
        <v>160</v>
      </c>
      <c r="G40" s="30">
        <v>18</v>
      </c>
      <c r="H40" s="30">
        <v>4</v>
      </c>
      <c r="I40" s="30">
        <v>12</v>
      </c>
      <c r="J40" s="33">
        <v>70</v>
      </c>
      <c r="K40" s="41"/>
    </row>
    <row r="41" spans="1:11" x14ac:dyDescent="0.35">
      <c r="A41" s="20">
        <f t="shared" si="0"/>
        <v>40</v>
      </c>
      <c r="B41" s="10" t="s">
        <v>1315</v>
      </c>
      <c r="C41" s="26" t="s">
        <v>1263</v>
      </c>
      <c r="D41" s="27" t="s">
        <v>97</v>
      </c>
      <c r="E41" s="29">
        <v>400</v>
      </c>
      <c r="F41" s="30">
        <v>180</v>
      </c>
      <c r="G41" s="30">
        <v>4</v>
      </c>
      <c r="H41" s="30">
        <v>12</v>
      </c>
      <c r="I41" s="30">
        <v>14</v>
      </c>
      <c r="J41" s="33">
        <v>80</v>
      </c>
      <c r="K41" s="41"/>
    </row>
    <row r="42" spans="1:11" x14ac:dyDescent="0.35">
      <c r="A42" s="20">
        <f t="shared" si="0"/>
        <v>41</v>
      </c>
      <c r="B42" s="10" t="s">
        <v>1316</v>
      </c>
      <c r="C42" s="26" t="s">
        <v>1264</v>
      </c>
      <c r="D42" s="27" t="s">
        <v>97</v>
      </c>
      <c r="E42" s="29">
        <v>400</v>
      </c>
      <c r="F42" s="30">
        <v>360</v>
      </c>
      <c r="G42" s="30">
        <v>32</v>
      </c>
      <c r="H42" s="30">
        <v>20</v>
      </c>
      <c r="I42" s="30">
        <v>14</v>
      </c>
      <c r="J42" s="33">
        <v>75</v>
      </c>
      <c r="K42" s="41"/>
    </row>
    <row r="43" spans="1:11" x14ac:dyDescent="0.35">
      <c r="A43" s="20">
        <f t="shared" si="0"/>
        <v>42</v>
      </c>
      <c r="B43" s="10" t="s">
        <v>1317</v>
      </c>
      <c r="C43" s="26" t="s">
        <v>1265</v>
      </c>
      <c r="D43" s="27" t="s">
        <v>97</v>
      </c>
      <c r="E43" s="29">
        <v>400</v>
      </c>
      <c r="F43" s="30">
        <v>140</v>
      </c>
      <c r="G43" s="30">
        <v>3</v>
      </c>
      <c r="H43" s="30">
        <v>10</v>
      </c>
      <c r="I43" s="30">
        <v>10</v>
      </c>
      <c r="J43" s="33">
        <v>75</v>
      </c>
      <c r="K43" s="41"/>
    </row>
    <row r="44" spans="1:11" x14ac:dyDescent="0.35">
      <c r="A44" s="20">
        <f t="shared" si="0"/>
        <v>43</v>
      </c>
      <c r="B44" s="10" t="s">
        <v>1318</v>
      </c>
      <c r="C44" s="26" t="s">
        <v>1266</v>
      </c>
      <c r="D44" s="27" t="s">
        <v>97</v>
      </c>
      <c r="E44" s="29">
        <v>400</v>
      </c>
      <c r="F44" s="30">
        <v>680</v>
      </c>
      <c r="G44" s="30">
        <v>24</v>
      </c>
      <c r="H44" s="30">
        <v>18</v>
      </c>
      <c r="I44" s="30">
        <v>104</v>
      </c>
      <c r="J44" s="33">
        <v>55</v>
      </c>
      <c r="K44" s="41"/>
    </row>
    <row r="45" spans="1:11" x14ac:dyDescent="0.35">
      <c r="A45" s="20">
        <f t="shared" si="0"/>
        <v>44</v>
      </c>
      <c r="B45" s="10" t="s">
        <v>1319</v>
      </c>
      <c r="C45" s="26" t="s">
        <v>1267</v>
      </c>
      <c r="D45" s="27" t="s">
        <v>97</v>
      </c>
      <c r="E45" s="29">
        <v>400</v>
      </c>
      <c r="F45" s="30">
        <v>480</v>
      </c>
      <c r="G45" s="30">
        <v>42</v>
      </c>
      <c r="H45" s="30">
        <v>30</v>
      </c>
      <c r="I45" s="30">
        <v>10</v>
      </c>
      <c r="J45" s="33">
        <v>350</v>
      </c>
      <c r="K45" s="41"/>
    </row>
    <row r="46" spans="1:11" x14ac:dyDescent="0.35">
      <c r="A46" s="20">
        <f t="shared" si="0"/>
        <v>45</v>
      </c>
      <c r="B46" s="10" t="s">
        <v>1320</v>
      </c>
      <c r="C46" s="26" t="s">
        <v>1268</v>
      </c>
      <c r="D46" s="27" t="s">
        <v>97</v>
      </c>
      <c r="E46" s="29">
        <v>400</v>
      </c>
      <c r="F46" s="30">
        <v>420</v>
      </c>
      <c r="G46" s="30">
        <v>34</v>
      </c>
      <c r="H46" s="30">
        <v>26</v>
      </c>
      <c r="I46" s="30">
        <v>12</v>
      </c>
      <c r="J46" s="33">
        <v>380</v>
      </c>
      <c r="K46" s="41"/>
    </row>
    <row r="47" spans="1:11" ht="31" x14ac:dyDescent="0.35">
      <c r="A47" s="20">
        <f t="shared" si="0"/>
        <v>46</v>
      </c>
      <c r="B47" s="10" t="s">
        <v>1321</v>
      </c>
      <c r="C47" s="26" t="s">
        <v>1269</v>
      </c>
      <c r="D47" s="27" t="s">
        <v>1274</v>
      </c>
      <c r="E47" s="29">
        <v>400</v>
      </c>
      <c r="F47" s="30">
        <v>1.08</v>
      </c>
      <c r="G47" s="30">
        <v>32</v>
      </c>
      <c r="H47" s="30">
        <v>48</v>
      </c>
      <c r="I47" s="30">
        <v>130</v>
      </c>
      <c r="J47" s="33">
        <v>60</v>
      </c>
      <c r="K47" s="41"/>
    </row>
    <row r="48" spans="1:11" x14ac:dyDescent="0.35">
      <c r="A48" s="20">
        <f t="shared" si="0"/>
        <v>47</v>
      </c>
      <c r="B48" s="10" t="s">
        <v>1322</v>
      </c>
      <c r="C48" s="26" t="s">
        <v>1270</v>
      </c>
      <c r="D48" s="27" t="s">
        <v>97</v>
      </c>
      <c r="E48" s="29">
        <v>400</v>
      </c>
      <c r="F48" s="30">
        <v>620</v>
      </c>
      <c r="G48" s="30">
        <v>64</v>
      </c>
      <c r="H48" s="30">
        <v>38</v>
      </c>
      <c r="I48" s="30">
        <v>6</v>
      </c>
      <c r="J48" s="33">
        <v>60</v>
      </c>
      <c r="K48" s="41"/>
    </row>
    <row r="49" spans="1:11" x14ac:dyDescent="0.35">
      <c r="A49" s="20">
        <f t="shared" si="0"/>
        <v>48</v>
      </c>
      <c r="B49" s="10" t="s">
        <v>1323</v>
      </c>
      <c r="C49" s="26" t="s">
        <v>1271</v>
      </c>
      <c r="D49" s="27" t="s">
        <v>99</v>
      </c>
      <c r="E49" s="29">
        <v>400</v>
      </c>
      <c r="F49" s="30">
        <v>1.1399999999999999</v>
      </c>
      <c r="G49" s="30">
        <v>48</v>
      </c>
      <c r="H49" s="30">
        <v>72</v>
      </c>
      <c r="I49" s="30">
        <v>74</v>
      </c>
      <c r="J49" s="33">
        <v>40</v>
      </c>
      <c r="K49" s="41"/>
    </row>
    <row r="50" spans="1:11" x14ac:dyDescent="0.35">
      <c r="A50" s="20">
        <f t="shared" si="0"/>
        <v>49</v>
      </c>
      <c r="B50" s="10" t="s">
        <v>1324</v>
      </c>
      <c r="C50" s="26" t="s">
        <v>1272</v>
      </c>
      <c r="D50" s="27" t="s">
        <v>97</v>
      </c>
      <c r="E50" s="29">
        <v>400</v>
      </c>
      <c r="F50" s="30">
        <v>210</v>
      </c>
      <c r="G50" s="30">
        <v>10</v>
      </c>
      <c r="H50" s="30">
        <v>5</v>
      </c>
      <c r="I50" s="30">
        <v>32</v>
      </c>
      <c r="J50" s="33">
        <v>85</v>
      </c>
      <c r="K50" s="41"/>
    </row>
    <row r="51" spans="1:11" x14ac:dyDescent="0.35">
      <c r="A51" s="20">
        <f t="shared" si="0"/>
        <v>50</v>
      </c>
      <c r="B51" s="10" t="s">
        <v>1325</v>
      </c>
      <c r="C51" s="26" t="s">
        <v>1273</v>
      </c>
      <c r="D51" s="27" t="s">
        <v>97</v>
      </c>
      <c r="E51" s="29">
        <v>400</v>
      </c>
      <c r="F51" s="30">
        <v>560</v>
      </c>
      <c r="G51" s="30">
        <v>6</v>
      </c>
      <c r="H51" s="30">
        <v>28</v>
      </c>
      <c r="I51" s="30">
        <v>72</v>
      </c>
      <c r="J51" s="33">
        <v>40</v>
      </c>
      <c r="K51" s="41"/>
    </row>
  </sheetData>
  <phoneticPr fontId="3" type="noConversion"/>
  <hyperlinks>
    <hyperlink ref="K12" r:id="rId1" xr:uid="{0DABCA5D-F965-49FD-844E-5BE94E8D869D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842B-E9DC-4C5C-AE26-D3596D0A1FF4}">
  <dimension ref="A1:O109"/>
  <sheetViews>
    <sheetView zoomScale="85" zoomScaleNormal="85" workbookViewId="0">
      <pane ySplit="1" topLeftCell="A49" activePane="bottomLeft" state="frozen"/>
      <selection activeCell="G1" sqref="G1"/>
      <selection pane="bottomLeft" activeCell="N1" sqref="N1"/>
    </sheetView>
  </sheetViews>
  <sheetFormatPr defaultRowHeight="15.5" x14ac:dyDescent="0.35"/>
  <cols>
    <col min="1" max="1" width="8.7265625" style="6"/>
    <col min="2" max="6" width="16.81640625" style="6" customWidth="1"/>
    <col min="7" max="7" width="26.08984375" style="6" bestFit="1" customWidth="1"/>
    <col min="8" max="8" width="27.54296875" style="8" customWidth="1"/>
    <col min="9" max="13" width="16.81640625" style="6" customWidth="1"/>
    <col min="14" max="14" width="16.81640625" style="38" customWidth="1"/>
    <col min="15" max="15" width="33.6328125" style="6" customWidth="1"/>
    <col min="16" max="16384" width="8.7265625" style="6"/>
  </cols>
  <sheetData>
    <row r="1" spans="1:15" s="15" customFormat="1" ht="58" customHeight="1" x14ac:dyDescent="0.4">
      <c r="A1" s="14" t="s">
        <v>0</v>
      </c>
      <c r="B1" s="14" t="s">
        <v>100</v>
      </c>
      <c r="C1" s="14" t="s">
        <v>101</v>
      </c>
      <c r="D1" s="14" t="s">
        <v>102</v>
      </c>
      <c r="E1" s="14" t="s">
        <v>103</v>
      </c>
      <c r="F1" s="14" t="s">
        <v>104</v>
      </c>
      <c r="G1" s="14" t="s">
        <v>105</v>
      </c>
      <c r="H1" s="14" t="s">
        <v>241</v>
      </c>
      <c r="I1" s="14" t="s">
        <v>109</v>
      </c>
      <c r="J1" s="14" t="s">
        <v>108</v>
      </c>
      <c r="K1" s="14" t="s">
        <v>112</v>
      </c>
      <c r="L1" s="14" t="s">
        <v>113</v>
      </c>
      <c r="M1" s="14" t="s">
        <v>114</v>
      </c>
      <c r="N1" s="14" t="s">
        <v>115</v>
      </c>
      <c r="O1" s="14" t="s">
        <v>9</v>
      </c>
    </row>
    <row r="2" spans="1:15" x14ac:dyDescent="0.35">
      <c r="A2" s="6">
        <f>ROW()-1</f>
        <v>1</v>
      </c>
      <c r="B2" s="6" t="s">
        <v>210</v>
      </c>
      <c r="C2" s="6" t="s">
        <v>225</v>
      </c>
      <c r="D2" s="6">
        <v>0</v>
      </c>
      <c r="E2" s="6">
        <v>5</v>
      </c>
      <c r="F2" s="6" t="s">
        <v>133</v>
      </c>
      <c r="G2" s="6" t="s">
        <v>119</v>
      </c>
      <c r="H2" s="8" t="s">
        <v>230</v>
      </c>
      <c r="I2" s="6" t="s">
        <v>251</v>
      </c>
      <c r="K2" s="12" t="s">
        <v>226</v>
      </c>
      <c r="L2" s="12" t="s">
        <v>227</v>
      </c>
      <c r="M2" s="6" t="s">
        <v>228</v>
      </c>
      <c r="N2" s="38" t="s">
        <v>229</v>
      </c>
    </row>
    <row r="3" spans="1:15" x14ac:dyDescent="0.35">
      <c r="A3" s="6">
        <f t="shared" ref="A3:A74" si="0">ROW()-1</f>
        <v>2</v>
      </c>
      <c r="B3" s="6" t="s">
        <v>211</v>
      </c>
      <c r="C3" s="6" t="s">
        <v>225</v>
      </c>
      <c r="D3" s="6">
        <v>0</v>
      </c>
      <c r="E3" s="6">
        <v>5</v>
      </c>
      <c r="F3" s="6" t="s">
        <v>231</v>
      </c>
      <c r="G3" s="6" t="s">
        <v>119</v>
      </c>
      <c r="H3" s="8" t="s">
        <v>230</v>
      </c>
      <c r="I3" s="6" t="s">
        <v>251</v>
      </c>
      <c r="K3" s="6" t="s">
        <v>232</v>
      </c>
      <c r="L3" s="6" t="s">
        <v>227</v>
      </c>
      <c r="M3" s="6" t="s">
        <v>233</v>
      </c>
      <c r="N3" s="38" t="s">
        <v>234</v>
      </c>
    </row>
    <row r="4" spans="1:15" x14ac:dyDescent="0.35">
      <c r="A4" s="6">
        <f t="shared" si="0"/>
        <v>3</v>
      </c>
      <c r="B4" s="6" t="s">
        <v>212</v>
      </c>
      <c r="C4" s="6" t="s">
        <v>235</v>
      </c>
      <c r="D4" s="6">
        <v>6</v>
      </c>
      <c r="E4" s="6">
        <v>8</v>
      </c>
      <c r="F4" s="6" t="s">
        <v>231</v>
      </c>
      <c r="G4" s="6" t="s">
        <v>119</v>
      </c>
      <c r="H4" s="8" t="s">
        <v>230</v>
      </c>
      <c r="I4" s="6" t="s">
        <v>251</v>
      </c>
      <c r="K4" s="6" t="s">
        <v>236</v>
      </c>
      <c r="L4" s="6" t="s">
        <v>237</v>
      </c>
      <c r="M4" s="6" t="s">
        <v>238</v>
      </c>
      <c r="N4" s="38">
        <v>0</v>
      </c>
    </row>
    <row r="5" spans="1:15" x14ac:dyDescent="0.35">
      <c r="A5" s="6">
        <f t="shared" si="0"/>
        <v>4</v>
      </c>
      <c r="B5" s="6" t="s">
        <v>213</v>
      </c>
      <c r="C5" s="6" t="s">
        <v>235</v>
      </c>
      <c r="D5" s="6">
        <v>6</v>
      </c>
      <c r="E5" s="6">
        <v>8</v>
      </c>
      <c r="F5" s="6" t="s">
        <v>133</v>
      </c>
      <c r="G5" s="6" t="s">
        <v>119</v>
      </c>
      <c r="H5" s="8" t="s">
        <v>230</v>
      </c>
      <c r="I5" s="6" t="s">
        <v>251</v>
      </c>
      <c r="K5" s="6" t="s">
        <v>239</v>
      </c>
      <c r="L5" s="6" t="s">
        <v>237</v>
      </c>
      <c r="M5" s="6" t="s">
        <v>240</v>
      </c>
      <c r="N5" s="38">
        <v>0</v>
      </c>
    </row>
    <row r="6" spans="1:15" x14ac:dyDescent="0.35">
      <c r="A6" s="6">
        <f t="shared" si="0"/>
        <v>5</v>
      </c>
      <c r="B6" s="6" t="s">
        <v>214</v>
      </c>
      <c r="C6" s="6" t="s">
        <v>242</v>
      </c>
      <c r="D6" s="6">
        <v>9</v>
      </c>
      <c r="E6" s="6">
        <v>11</v>
      </c>
      <c r="F6" s="6" t="s">
        <v>133</v>
      </c>
      <c r="G6" s="6" t="s">
        <v>119</v>
      </c>
      <c r="H6" s="8" t="s">
        <v>230</v>
      </c>
      <c r="I6" s="6" t="s">
        <v>251</v>
      </c>
      <c r="K6" s="12" t="s">
        <v>243</v>
      </c>
      <c r="L6" s="6" t="s">
        <v>244</v>
      </c>
      <c r="M6" s="12" t="s">
        <v>245</v>
      </c>
      <c r="N6" s="38">
        <v>0</v>
      </c>
    </row>
    <row r="7" spans="1:15" x14ac:dyDescent="0.35">
      <c r="A7" s="6">
        <f t="shared" si="0"/>
        <v>6</v>
      </c>
      <c r="B7" s="6" t="s">
        <v>215</v>
      </c>
      <c r="C7" s="6" t="s">
        <v>242</v>
      </c>
      <c r="D7" s="6">
        <v>9</v>
      </c>
      <c r="E7" s="6">
        <v>11</v>
      </c>
      <c r="F7" s="6" t="s">
        <v>231</v>
      </c>
      <c r="G7" s="6" t="s">
        <v>119</v>
      </c>
      <c r="H7" s="8" t="s">
        <v>230</v>
      </c>
      <c r="I7" s="6" t="s">
        <v>251</v>
      </c>
      <c r="K7" s="12" t="s">
        <v>239</v>
      </c>
      <c r="L7" s="12" t="s">
        <v>244</v>
      </c>
      <c r="M7" s="12" t="s">
        <v>240</v>
      </c>
      <c r="N7" s="38">
        <v>0</v>
      </c>
    </row>
    <row r="8" spans="1:15" x14ac:dyDescent="0.35">
      <c r="A8" s="6">
        <f t="shared" si="0"/>
        <v>7</v>
      </c>
      <c r="B8" s="6" t="s">
        <v>216</v>
      </c>
      <c r="C8" s="6" t="s">
        <v>246</v>
      </c>
      <c r="D8" s="6">
        <v>1</v>
      </c>
      <c r="E8" s="6">
        <v>2</v>
      </c>
      <c r="F8" s="6" t="s">
        <v>133</v>
      </c>
      <c r="G8" s="6" t="s">
        <v>119</v>
      </c>
      <c r="H8" s="8" t="s">
        <v>252</v>
      </c>
      <c r="I8" s="6" t="s">
        <v>251</v>
      </c>
      <c r="K8" s="6" t="s">
        <v>247</v>
      </c>
      <c r="L8" s="6" t="s">
        <v>248</v>
      </c>
      <c r="M8" s="12" t="s">
        <v>249</v>
      </c>
      <c r="N8" s="38" t="s">
        <v>250</v>
      </c>
    </row>
    <row r="9" spans="1:15" x14ac:dyDescent="0.35">
      <c r="A9" s="6">
        <f t="shared" si="0"/>
        <v>8</v>
      </c>
      <c r="B9" s="6" t="s">
        <v>217</v>
      </c>
      <c r="C9" s="6" t="s">
        <v>246</v>
      </c>
      <c r="D9" s="6">
        <v>1</v>
      </c>
      <c r="E9" s="6">
        <v>2</v>
      </c>
      <c r="F9" s="6" t="s">
        <v>231</v>
      </c>
      <c r="G9" s="6" t="s">
        <v>119</v>
      </c>
      <c r="H9" s="8" t="s">
        <v>252</v>
      </c>
      <c r="I9" s="6" t="s">
        <v>251</v>
      </c>
      <c r="K9" s="6" t="s">
        <v>253</v>
      </c>
      <c r="L9" s="6" t="s">
        <v>248</v>
      </c>
      <c r="M9" s="12" t="s">
        <v>254</v>
      </c>
      <c r="N9" s="38" t="s">
        <v>255</v>
      </c>
    </row>
    <row r="10" spans="1:15" x14ac:dyDescent="0.35">
      <c r="A10" s="6">
        <f t="shared" si="0"/>
        <v>9</v>
      </c>
      <c r="B10" s="6" t="s">
        <v>218</v>
      </c>
      <c r="C10" s="6" t="s">
        <v>256</v>
      </c>
      <c r="D10" s="6">
        <v>3</v>
      </c>
      <c r="E10" s="6">
        <v>5</v>
      </c>
      <c r="F10" s="6" t="s">
        <v>133</v>
      </c>
      <c r="G10" s="6" t="s">
        <v>119</v>
      </c>
      <c r="H10" s="8" t="s">
        <v>252</v>
      </c>
      <c r="I10" s="6" t="s">
        <v>251</v>
      </c>
      <c r="K10" s="12" t="s">
        <v>257</v>
      </c>
      <c r="L10" s="6" t="s">
        <v>244</v>
      </c>
      <c r="M10" s="12" t="s">
        <v>258</v>
      </c>
      <c r="N10" s="38" t="s">
        <v>259</v>
      </c>
    </row>
    <row r="11" spans="1:15" x14ac:dyDescent="0.35">
      <c r="A11" s="6">
        <f t="shared" si="0"/>
        <v>10</v>
      </c>
      <c r="B11" s="6" t="s">
        <v>219</v>
      </c>
      <c r="C11" s="6" t="s">
        <v>256</v>
      </c>
      <c r="D11" s="6">
        <v>3</v>
      </c>
      <c r="E11" s="6">
        <v>5</v>
      </c>
      <c r="F11" s="6" t="s">
        <v>231</v>
      </c>
      <c r="G11" s="6" t="s">
        <v>119</v>
      </c>
      <c r="H11" s="8" t="s">
        <v>252</v>
      </c>
      <c r="I11" s="6" t="s">
        <v>251</v>
      </c>
      <c r="K11" s="12" t="s">
        <v>260</v>
      </c>
      <c r="L11" s="6" t="s">
        <v>244</v>
      </c>
      <c r="M11" s="12" t="s">
        <v>261</v>
      </c>
      <c r="N11" s="38" t="s">
        <v>262</v>
      </c>
    </row>
    <row r="12" spans="1:15" x14ac:dyDescent="0.35">
      <c r="A12" s="6">
        <f t="shared" si="0"/>
        <v>11</v>
      </c>
      <c r="B12" s="6" t="s">
        <v>220</v>
      </c>
      <c r="C12" s="6" t="s">
        <v>263</v>
      </c>
      <c r="D12" s="6">
        <v>6</v>
      </c>
      <c r="E12" s="6">
        <v>7</v>
      </c>
      <c r="F12" s="6" t="s">
        <v>133</v>
      </c>
      <c r="G12" s="6" t="s">
        <v>119</v>
      </c>
      <c r="H12" s="8" t="s">
        <v>381</v>
      </c>
      <c r="J12" s="6" t="s">
        <v>123</v>
      </c>
      <c r="K12" s="12" t="s">
        <v>264</v>
      </c>
      <c r="L12" s="12" t="s">
        <v>265</v>
      </c>
      <c r="M12" s="12" t="s">
        <v>266</v>
      </c>
      <c r="N12" s="39" t="s">
        <v>267</v>
      </c>
    </row>
    <row r="13" spans="1:15" x14ac:dyDescent="0.35">
      <c r="A13" s="6">
        <f t="shared" si="0"/>
        <v>12</v>
      </c>
      <c r="B13" s="6" t="s">
        <v>221</v>
      </c>
      <c r="C13" s="6" t="s">
        <v>263</v>
      </c>
      <c r="D13" s="6">
        <v>6</v>
      </c>
      <c r="E13" s="6">
        <v>7</v>
      </c>
      <c r="F13" s="6" t="s">
        <v>231</v>
      </c>
      <c r="G13" s="6" t="s">
        <v>119</v>
      </c>
      <c r="H13" s="8" t="s">
        <v>381</v>
      </c>
      <c r="J13" s="6" t="s">
        <v>123</v>
      </c>
      <c r="K13" s="12" t="s">
        <v>268</v>
      </c>
      <c r="L13" s="6" t="s">
        <v>265</v>
      </c>
      <c r="M13" s="12" t="s">
        <v>269</v>
      </c>
      <c r="N13" s="38" t="s">
        <v>270</v>
      </c>
    </row>
    <row r="14" spans="1:15" x14ac:dyDescent="0.35">
      <c r="A14" s="6">
        <f t="shared" si="0"/>
        <v>13</v>
      </c>
      <c r="B14" s="6" t="s">
        <v>222</v>
      </c>
      <c r="C14" s="6" t="s">
        <v>263</v>
      </c>
      <c r="D14" s="6">
        <v>6</v>
      </c>
      <c r="E14" s="6">
        <v>7</v>
      </c>
      <c r="F14" s="6" t="s">
        <v>133</v>
      </c>
      <c r="G14" s="6" t="s">
        <v>119</v>
      </c>
      <c r="H14" s="8" t="s">
        <v>381</v>
      </c>
      <c r="J14" s="6" t="s">
        <v>120</v>
      </c>
      <c r="K14" s="12" t="s">
        <v>355</v>
      </c>
      <c r="L14" s="12" t="s">
        <v>265</v>
      </c>
      <c r="M14" s="12" t="s">
        <v>356</v>
      </c>
      <c r="N14" s="39" t="s">
        <v>357</v>
      </c>
    </row>
    <row r="15" spans="1:15" x14ac:dyDescent="0.35">
      <c r="A15" s="6">
        <f t="shared" si="0"/>
        <v>14</v>
      </c>
      <c r="B15" s="6" t="s">
        <v>223</v>
      </c>
      <c r="C15" s="6" t="s">
        <v>263</v>
      </c>
      <c r="D15" s="6">
        <v>6</v>
      </c>
      <c r="E15" s="6">
        <v>7</v>
      </c>
      <c r="F15" s="6" t="s">
        <v>231</v>
      </c>
      <c r="G15" s="6" t="s">
        <v>119</v>
      </c>
      <c r="H15" s="8" t="s">
        <v>381</v>
      </c>
      <c r="J15" s="6" t="s">
        <v>120</v>
      </c>
      <c r="K15" s="12" t="s">
        <v>358</v>
      </c>
      <c r="L15" s="12" t="s">
        <v>265</v>
      </c>
      <c r="M15" s="12" t="s">
        <v>359</v>
      </c>
      <c r="N15" s="39" t="s">
        <v>360</v>
      </c>
    </row>
    <row r="16" spans="1:15" x14ac:dyDescent="0.35">
      <c r="A16" s="6">
        <f t="shared" si="0"/>
        <v>15</v>
      </c>
      <c r="B16" s="6" t="s">
        <v>224</v>
      </c>
      <c r="C16" s="6" t="s">
        <v>263</v>
      </c>
      <c r="D16" s="6">
        <v>6</v>
      </c>
      <c r="E16" s="6">
        <v>7</v>
      </c>
      <c r="F16" s="6" t="s">
        <v>133</v>
      </c>
      <c r="G16" s="6" t="s">
        <v>119</v>
      </c>
      <c r="H16" s="8" t="s">
        <v>381</v>
      </c>
      <c r="J16" s="6" t="s">
        <v>145</v>
      </c>
      <c r="K16" s="12" t="s">
        <v>361</v>
      </c>
      <c r="L16" s="12" t="s">
        <v>265</v>
      </c>
      <c r="M16" s="12" t="s">
        <v>362</v>
      </c>
      <c r="N16" s="39" t="s">
        <v>363</v>
      </c>
    </row>
    <row r="17" spans="1:14" x14ac:dyDescent="0.35">
      <c r="A17" s="6">
        <f t="shared" si="0"/>
        <v>16</v>
      </c>
      <c r="B17" s="6" t="s">
        <v>271</v>
      </c>
      <c r="C17" s="6" t="s">
        <v>263</v>
      </c>
      <c r="D17" s="6">
        <v>6</v>
      </c>
      <c r="E17" s="6">
        <v>7</v>
      </c>
      <c r="F17" s="6" t="s">
        <v>231</v>
      </c>
      <c r="G17" s="6" t="s">
        <v>119</v>
      </c>
      <c r="H17" s="8" t="s">
        <v>381</v>
      </c>
      <c r="J17" s="6" t="s">
        <v>145</v>
      </c>
      <c r="K17" s="12" t="s">
        <v>364</v>
      </c>
      <c r="L17" s="12" t="s">
        <v>265</v>
      </c>
      <c r="M17" s="12" t="s">
        <v>367</v>
      </c>
      <c r="N17" s="39" t="s">
        <v>368</v>
      </c>
    </row>
    <row r="18" spans="1:14" x14ac:dyDescent="0.35">
      <c r="A18" s="6">
        <f t="shared" si="0"/>
        <v>17</v>
      </c>
      <c r="B18" s="6" t="s">
        <v>272</v>
      </c>
      <c r="C18" s="6" t="s">
        <v>369</v>
      </c>
      <c r="D18" s="6">
        <v>8</v>
      </c>
      <c r="E18" s="6">
        <v>9</v>
      </c>
      <c r="F18" s="6" t="s">
        <v>133</v>
      </c>
      <c r="G18" s="6" t="s">
        <v>119</v>
      </c>
      <c r="H18" s="8" t="s">
        <v>381</v>
      </c>
      <c r="J18" s="6" t="s">
        <v>120</v>
      </c>
      <c r="K18" s="12" t="s">
        <v>370</v>
      </c>
      <c r="L18" s="12" t="s">
        <v>371</v>
      </c>
      <c r="M18" s="12" t="s">
        <v>372</v>
      </c>
      <c r="N18" s="39" t="s">
        <v>373</v>
      </c>
    </row>
    <row r="19" spans="1:14" x14ac:dyDescent="0.35">
      <c r="A19" s="6">
        <f t="shared" si="0"/>
        <v>18</v>
      </c>
      <c r="B19" s="6" t="s">
        <v>273</v>
      </c>
      <c r="C19" s="6" t="s">
        <v>369</v>
      </c>
      <c r="D19" s="6">
        <v>8</v>
      </c>
      <c r="E19" s="6">
        <v>9</v>
      </c>
      <c r="F19" s="6" t="s">
        <v>231</v>
      </c>
      <c r="G19" s="6" t="s">
        <v>119</v>
      </c>
      <c r="H19" s="8" t="s">
        <v>381</v>
      </c>
      <c r="J19" s="6" t="s">
        <v>120</v>
      </c>
      <c r="K19" s="12" t="s">
        <v>374</v>
      </c>
      <c r="L19" s="12" t="s">
        <v>375</v>
      </c>
      <c r="M19" s="12" t="s">
        <v>376</v>
      </c>
      <c r="N19" s="39" t="s">
        <v>377</v>
      </c>
    </row>
    <row r="20" spans="1:14" x14ac:dyDescent="0.35">
      <c r="A20" s="6">
        <f t="shared" si="0"/>
        <v>19</v>
      </c>
      <c r="B20" s="6" t="s">
        <v>274</v>
      </c>
      <c r="C20" s="6" t="s">
        <v>369</v>
      </c>
      <c r="D20" s="6">
        <v>8</v>
      </c>
      <c r="E20" s="6">
        <v>9</v>
      </c>
      <c r="F20" s="6" t="s">
        <v>133</v>
      </c>
      <c r="G20" s="6" t="s">
        <v>119</v>
      </c>
      <c r="H20" s="8" t="s">
        <v>381</v>
      </c>
      <c r="J20" s="6" t="s">
        <v>123</v>
      </c>
      <c r="K20" s="12" t="s">
        <v>378</v>
      </c>
      <c r="L20" s="12" t="s">
        <v>371</v>
      </c>
      <c r="M20" s="12" t="s">
        <v>379</v>
      </c>
      <c r="N20" s="39" t="s">
        <v>380</v>
      </c>
    </row>
    <row r="21" spans="1:14" x14ac:dyDescent="0.35">
      <c r="A21" s="6">
        <f t="shared" si="0"/>
        <v>20</v>
      </c>
      <c r="B21" s="6" t="s">
        <v>275</v>
      </c>
      <c r="C21" s="6" t="s">
        <v>369</v>
      </c>
      <c r="D21" s="6">
        <v>8</v>
      </c>
      <c r="E21" s="6">
        <v>9</v>
      </c>
      <c r="F21" s="6" t="s">
        <v>231</v>
      </c>
      <c r="G21" s="6" t="s">
        <v>119</v>
      </c>
      <c r="H21" s="8" t="s">
        <v>381</v>
      </c>
      <c r="J21" s="6" t="s">
        <v>123</v>
      </c>
      <c r="K21" s="12" t="s">
        <v>382</v>
      </c>
      <c r="L21" s="12" t="s">
        <v>375</v>
      </c>
      <c r="M21" s="12" t="s">
        <v>383</v>
      </c>
      <c r="N21" s="39" t="s">
        <v>384</v>
      </c>
    </row>
    <row r="22" spans="1:14" x14ac:dyDescent="0.35">
      <c r="A22" s="6">
        <f t="shared" si="0"/>
        <v>21</v>
      </c>
      <c r="B22" s="6" t="s">
        <v>276</v>
      </c>
      <c r="C22" s="6" t="s">
        <v>369</v>
      </c>
      <c r="D22" s="6">
        <v>8</v>
      </c>
      <c r="E22" s="6">
        <v>9</v>
      </c>
      <c r="F22" s="6" t="s">
        <v>133</v>
      </c>
      <c r="G22" s="6" t="s">
        <v>119</v>
      </c>
      <c r="H22" s="8" t="s">
        <v>381</v>
      </c>
      <c r="J22" s="6" t="s">
        <v>145</v>
      </c>
      <c r="K22" s="12" t="s">
        <v>365</v>
      </c>
      <c r="L22" s="12" t="s">
        <v>371</v>
      </c>
      <c r="M22" s="12" t="s">
        <v>385</v>
      </c>
      <c r="N22" s="39" t="s">
        <v>386</v>
      </c>
    </row>
    <row r="23" spans="1:14" x14ac:dyDescent="0.35">
      <c r="A23" s="6">
        <f t="shared" si="0"/>
        <v>22</v>
      </c>
      <c r="B23" s="6" t="s">
        <v>277</v>
      </c>
      <c r="C23" s="6" t="s">
        <v>369</v>
      </c>
      <c r="D23" s="6">
        <v>8</v>
      </c>
      <c r="E23" s="6">
        <v>9</v>
      </c>
      <c r="F23" s="6" t="s">
        <v>231</v>
      </c>
      <c r="G23" s="6" t="s">
        <v>119</v>
      </c>
      <c r="H23" s="8" t="s">
        <v>381</v>
      </c>
      <c r="J23" s="6" t="s">
        <v>145</v>
      </c>
      <c r="K23" s="12" t="s">
        <v>387</v>
      </c>
      <c r="L23" s="12" t="s">
        <v>375</v>
      </c>
      <c r="M23" s="12" t="s">
        <v>388</v>
      </c>
      <c r="N23" s="39" t="s">
        <v>389</v>
      </c>
    </row>
    <row r="24" spans="1:14" x14ac:dyDescent="0.35">
      <c r="A24" s="6">
        <f t="shared" si="0"/>
        <v>23</v>
      </c>
      <c r="B24" s="6" t="s">
        <v>278</v>
      </c>
      <c r="C24" s="6" t="s">
        <v>390</v>
      </c>
      <c r="D24" s="6">
        <v>10</v>
      </c>
      <c r="E24" s="6">
        <v>11</v>
      </c>
      <c r="F24" s="6" t="s">
        <v>391</v>
      </c>
      <c r="G24" s="6" t="s">
        <v>119</v>
      </c>
      <c r="H24" s="8" t="s">
        <v>381</v>
      </c>
      <c r="J24" s="6" t="s">
        <v>120</v>
      </c>
      <c r="K24" s="12" t="s">
        <v>392</v>
      </c>
      <c r="L24" s="12" t="s">
        <v>393</v>
      </c>
      <c r="M24" s="12" t="s">
        <v>394</v>
      </c>
      <c r="N24" s="39" t="s">
        <v>395</v>
      </c>
    </row>
    <row r="25" spans="1:14" x14ac:dyDescent="0.35">
      <c r="A25" s="6">
        <f t="shared" si="0"/>
        <v>24</v>
      </c>
      <c r="B25" s="6" t="s">
        <v>279</v>
      </c>
      <c r="C25" s="6" t="s">
        <v>390</v>
      </c>
      <c r="D25" s="6">
        <v>10</v>
      </c>
      <c r="E25" s="6">
        <v>11</v>
      </c>
      <c r="F25" s="6" t="s">
        <v>231</v>
      </c>
      <c r="G25" s="6" t="s">
        <v>119</v>
      </c>
      <c r="H25" s="8" t="s">
        <v>381</v>
      </c>
      <c r="J25" s="6" t="s">
        <v>120</v>
      </c>
      <c r="K25" s="12" t="s">
        <v>396</v>
      </c>
      <c r="L25" s="12" t="s">
        <v>397</v>
      </c>
      <c r="M25" s="12" t="s">
        <v>398</v>
      </c>
      <c r="N25" s="39" t="s">
        <v>399</v>
      </c>
    </row>
    <row r="26" spans="1:14" x14ac:dyDescent="0.35">
      <c r="A26" s="6">
        <f t="shared" si="0"/>
        <v>25</v>
      </c>
      <c r="B26" s="6" t="s">
        <v>280</v>
      </c>
      <c r="C26" s="6" t="s">
        <v>390</v>
      </c>
      <c r="D26" s="6">
        <v>10</v>
      </c>
      <c r="E26" s="6">
        <v>11</v>
      </c>
      <c r="F26" s="6" t="s">
        <v>391</v>
      </c>
      <c r="G26" s="6" t="s">
        <v>119</v>
      </c>
      <c r="H26" s="8" t="s">
        <v>381</v>
      </c>
      <c r="J26" s="6" t="s">
        <v>123</v>
      </c>
      <c r="K26" s="12" t="s">
        <v>366</v>
      </c>
      <c r="L26" s="12" t="s">
        <v>393</v>
      </c>
      <c r="M26" s="12" t="s">
        <v>400</v>
      </c>
      <c r="N26" s="39" t="s">
        <v>401</v>
      </c>
    </row>
    <row r="27" spans="1:14" x14ac:dyDescent="0.35">
      <c r="A27" s="6">
        <f t="shared" si="0"/>
        <v>26</v>
      </c>
      <c r="B27" s="6" t="s">
        <v>281</v>
      </c>
      <c r="C27" s="6" t="s">
        <v>390</v>
      </c>
      <c r="D27" s="6">
        <v>10</v>
      </c>
      <c r="E27" s="6">
        <v>11</v>
      </c>
      <c r="F27" s="6" t="s">
        <v>231</v>
      </c>
      <c r="G27" s="6" t="s">
        <v>119</v>
      </c>
      <c r="H27" s="8" t="s">
        <v>381</v>
      </c>
      <c r="J27" s="6" t="s">
        <v>123</v>
      </c>
      <c r="K27" s="12" t="s">
        <v>402</v>
      </c>
      <c r="L27" s="12" t="s">
        <v>397</v>
      </c>
      <c r="M27" s="12" t="s">
        <v>403</v>
      </c>
      <c r="N27" s="39" t="s">
        <v>404</v>
      </c>
    </row>
    <row r="28" spans="1:14" x14ac:dyDescent="0.35">
      <c r="A28" s="6">
        <f t="shared" si="0"/>
        <v>27</v>
      </c>
      <c r="B28" s="6" t="s">
        <v>282</v>
      </c>
      <c r="C28" s="6" t="s">
        <v>390</v>
      </c>
      <c r="D28" s="6">
        <v>10</v>
      </c>
      <c r="E28" s="6">
        <v>11</v>
      </c>
      <c r="F28" s="6" t="s">
        <v>391</v>
      </c>
      <c r="G28" s="6" t="s">
        <v>119</v>
      </c>
      <c r="H28" s="8" t="s">
        <v>381</v>
      </c>
      <c r="J28" s="6" t="s">
        <v>145</v>
      </c>
      <c r="K28" s="12" t="s">
        <v>405</v>
      </c>
      <c r="L28" s="12" t="s">
        <v>393</v>
      </c>
      <c r="M28" s="12" t="s">
        <v>406</v>
      </c>
      <c r="N28" s="39" t="s">
        <v>407</v>
      </c>
    </row>
    <row r="29" spans="1:14" x14ac:dyDescent="0.35">
      <c r="A29" s="6">
        <f t="shared" si="0"/>
        <v>28</v>
      </c>
      <c r="B29" s="6" t="s">
        <v>283</v>
      </c>
      <c r="C29" s="6" t="s">
        <v>390</v>
      </c>
      <c r="D29" s="6">
        <v>10</v>
      </c>
      <c r="E29" s="6">
        <v>11</v>
      </c>
      <c r="F29" s="6" t="s">
        <v>231</v>
      </c>
      <c r="G29" s="6" t="s">
        <v>119</v>
      </c>
      <c r="H29" s="8" t="s">
        <v>381</v>
      </c>
      <c r="J29" s="6" t="s">
        <v>145</v>
      </c>
      <c r="K29" s="12" t="s">
        <v>408</v>
      </c>
      <c r="L29" s="12" t="s">
        <v>397</v>
      </c>
      <c r="M29" s="12" t="s">
        <v>409</v>
      </c>
      <c r="N29" s="39" t="s">
        <v>410</v>
      </c>
    </row>
    <row r="30" spans="1:14" x14ac:dyDescent="0.35">
      <c r="A30" s="6">
        <f t="shared" si="0"/>
        <v>29</v>
      </c>
      <c r="B30" s="6" t="s">
        <v>284</v>
      </c>
      <c r="C30" s="6" t="s">
        <v>411</v>
      </c>
      <c r="D30" s="6">
        <v>12</v>
      </c>
      <c r="E30" s="6">
        <v>14</v>
      </c>
      <c r="F30" s="6" t="s">
        <v>391</v>
      </c>
      <c r="G30" s="6" t="s">
        <v>119</v>
      </c>
      <c r="H30" s="8" t="s">
        <v>412</v>
      </c>
      <c r="J30" s="6" t="s">
        <v>120</v>
      </c>
      <c r="K30" s="12" t="s">
        <v>413</v>
      </c>
      <c r="L30" s="12" t="s">
        <v>414</v>
      </c>
      <c r="M30" s="12" t="s">
        <v>415</v>
      </c>
      <c r="N30" s="39" t="s">
        <v>416</v>
      </c>
    </row>
    <row r="31" spans="1:14" x14ac:dyDescent="0.35">
      <c r="A31" s="6">
        <f t="shared" si="0"/>
        <v>30</v>
      </c>
      <c r="B31" s="6" t="s">
        <v>285</v>
      </c>
      <c r="C31" s="6" t="s">
        <v>411</v>
      </c>
      <c r="D31" s="6">
        <v>12</v>
      </c>
      <c r="E31" s="6">
        <v>14</v>
      </c>
      <c r="F31" s="6" t="s">
        <v>231</v>
      </c>
      <c r="G31" s="6" t="s">
        <v>119</v>
      </c>
      <c r="H31" s="8" t="s">
        <v>412</v>
      </c>
      <c r="J31" s="6" t="s">
        <v>120</v>
      </c>
      <c r="K31" s="12" t="s">
        <v>417</v>
      </c>
      <c r="L31" s="12" t="s">
        <v>418</v>
      </c>
      <c r="M31" s="12" t="s">
        <v>419</v>
      </c>
      <c r="N31" s="39" t="s">
        <v>420</v>
      </c>
    </row>
    <row r="32" spans="1:14" x14ac:dyDescent="0.35">
      <c r="A32" s="6">
        <f t="shared" si="0"/>
        <v>31</v>
      </c>
      <c r="B32" s="6" t="s">
        <v>286</v>
      </c>
      <c r="C32" s="6" t="s">
        <v>411</v>
      </c>
      <c r="D32" s="6">
        <v>12</v>
      </c>
      <c r="E32" s="6">
        <v>14</v>
      </c>
      <c r="F32" s="6" t="s">
        <v>391</v>
      </c>
      <c r="G32" s="6" t="s">
        <v>119</v>
      </c>
      <c r="H32" s="8" t="s">
        <v>412</v>
      </c>
      <c r="J32" s="6" t="s">
        <v>123</v>
      </c>
      <c r="K32" s="12" t="s">
        <v>421</v>
      </c>
      <c r="L32" s="12" t="s">
        <v>414</v>
      </c>
      <c r="M32" s="12" t="s">
        <v>422</v>
      </c>
      <c r="N32" s="39" t="s">
        <v>423</v>
      </c>
    </row>
    <row r="33" spans="1:15" x14ac:dyDescent="0.35">
      <c r="A33" s="6">
        <f t="shared" si="0"/>
        <v>32</v>
      </c>
      <c r="B33" s="6" t="s">
        <v>287</v>
      </c>
      <c r="C33" s="6" t="s">
        <v>411</v>
      </c>
      <c r="D33" s="6">
        <v>12</v>
      </c>
      <c r="E33" s="6">
        <v>14</v>
      </c>
      <c r="F33" s="6" t="s">
        <v>231</v>
      </c>
      <c r="G33" s="6" t="s">
        <v>119</v>
      </c>
      <c r="H33" s="8" t="s">
        <v>412</v>
      </c>
      <c r="J33" s="6" t="s">
        <v>123</v>
      </c>
      <c r="K33" s="12" t="s">
        <v>424</v>
      </c>
      <c r="L33" s="12" t="s">
        <v>418</v>
      </c>
      <c r="M33" s="12" t="s">
        <v>425</v>
      </c>
      <c r="N33" s="39" t="s">
        <v>426</v>
      </c>
    </row>
    <row r="34" spans="1:15" x14ac:dyDescent="0.35">
      <c r="A34" s="6">
        <f t="shared" si="0"/>
        <v>33</v>
      </c>
      <c r="B34" s="6" t="s">
        <v>288</v>
      </c>
      <c r="C34" s="6" t="s">
        <v>411</v>
      </c>
      <c r="D34" s="6">
        <v>12</v>
      </c>
      <c r="E34" s="6">
        <v>14</v>
      </c>
      <c r="F34" s="6" t="s">
        <v>391</v>
      </c>
      <c r="G34" s="6" t="s">
        <v>119</v>
      </c>
      <c r="H34" s="8" t="s">
        <v>412</v>
      </c>
      <c r="J34" s="6" t="s">
        <v>145</v>
      </c>
      <c r="K34" s="12" t="s">
        <v>427</v>
      </c>
      <c r="L34" s="12" t="s">
        <v>414</v>
      </c>
      <c r="M34" s="12" t="s">
        <v>428</v>
      </c>
      <c r="N34" s="39" t="s">
        <v>429</v>
      </c>
    </row>
    <row r="35" spans="1:15" x14ac:dyDescent="0.35">
      <c r="A35" s="6">
        <f t="shared" si="0"/>
        <v>34</v>
      </c>
      <c r="B35" s="6" t="s">
        <v>289</v>
      </c>
      <c r="C35" s="6" t="s">
        <v>411</v>
      </c>
      <c r="D35" s="6">
        <v>12</v>
      </c>
      <c r="E35" s="6">
        <v>14</v>
      </c>
      <c r="F35" s="6" t="s">
        <v>231</v>
      </c>
      <c r="G35" s="6" t="s">
        <v>119</v>
      </c>
      <c r="H35" s="8" t="s">
        <v>412</v>
      </c>
      <c r="J35" s="6" t="s">
        <v>145</v>
      </c>
      <c r="K35" s="12" t="s">
        <v>430</v>
      </c>
      <c r="L35" s="12" t="s">
        <v>418</v>
      </c>
      <c r="M35" s="12" t="s">
        <v>431</v>
      </c>
      <c r="N35" s="39" t="s">
        <v>432</v>
      </c>
    </row>
    <row r="36" spans="1:15" x14ac:dyDescent="0.35">
      <c r="A36" s="6">
        <f t="shared" si="0"/>
        <v>35</v>
      </c>
      <c r="B36" s="6" t="s">
        <v>290</v>
      </c>
      <c r="C36" s="6" t="s">
        <v>433</v>
      </c>
      <c r="D36" s="6">
        <v>15</v>
      </c>
      <c r="E36" s="6">
        <v>17</v>
      </c>
      <c r="F36" s="6" t="s">
        <v>391</v>
      </c>
      <c r="G36" s="6" t="s">
        <v>119</v>
      </c>
      <c r="H36" s="8" t="s">
        <v>412</v>
      </c>
      <c r="J36" s="6" t="s">
        <v>120</v>
      </c>
      <c r="K36" s="12" t="s">
        <v>421</v>
      </c>
      <c r="L36" s="12" t="s">
        <v>434</v>
      </c>
      <c r="M36" s="12" t="s">
        <v>422</v>
      </c>
      <c r="N36" s="39" t="s">
        <v>423</v>
      </c>
    </row>
    <row r="37" spans="1:15" x14ac:dyDescent="0.35">
      <c r="A37" s="6">
        <f t="shared" si="0"/>
        <v>36</v>
      </c>
      <c r="B37" s="6" t="s">
        <v>291</v>
      </c>
      <c r="C37" s="6" t="s">
        <v>433</v>
      </c>
      <c r="D37" s="6">
        <v>15</v>
      </c>
      <c r="E37" s="6">
        <v>17</v>
      </c>
      <c r="F37" s="6" t="s">
        <v>231</v>
      </c>
      <c r="G37" s="6" t="s">
        <v>119</v>
      </c>
      <c r="H37" s="8" t="s">
        <v>412</v>
      </c>
      <c r="J37" s="6" t="s">
        <v>120</v>
      </c>
      <c r="K37" s="12" t="s">
        <v>435</v>
      </c>
      <c r="L37" s="12" t="s">
        <v>436</v>
      </c>
      <c r="M37" s="12" t="s">
        <v>437</v>
      </c>
      <c r="N37" s="39" t="s">
        <v>438</v>
      </c>
    </row>
    <row r="38" spans="1:15" x14ac:dyDescent="0.35">
      <c r="A38" s="6">
        <f t="shared" si="0"/>
        <v>37</v>
      </c>
      <c r="B38" s="6" t="s">
        <v>292</v>
      </c>
      <c r="C38" s="6" t="s">
        <v>433</v>
      </c>
      <c r="D38" s="6">
        <v>15</v>
      </c>
      <c r="E38" s="6">
        <v>17</v>
      </c>
      <c r="F38" s="6" t="s">
        <v>391</v>
      </c>
      <c r="G38" s="6" t="s">
        <v>119</v>
      </c>
      <c r="H38" s="8" t="s">
        <v>412</v>
      </c>
      <c r="J38" s="6" t="s">
        <v>123</v>
      </c>
      <c r="K38" s="12" t="s">
        <v>439</v>
      </c>
      <c r="L38" s="12" t="s">
        <v>434</v>
      </c>
      <c r="M38" s="12" t="s">
        <v>440</v>
      </c>
      <c r="N38" s="39" t="s">
        <v>441</v>
      </c>
    </row>
    <row r="39" spans="1:15" x14ac:dyDescent="0.35">
      <c r="A39" s="6">
        <f t="shared" si="0"/>
        <v>38</v>
      </c>
      <c r="B39" s="6" t="s">
        <v>293</v>
      </c>
      <c r="C39" s="6" t="s">
        <v>433</v>
      </c>
      <c r="D39" s="6">
        <v>15</v>
      </c>
      <c r="E39" s="6">
        <v>17</v>
      </c>
      <c r="F39" s="6" t="s">
        <v>231</v>
      </c>
      <c r="G39" s="6" t="s">
        <v>119</v>
      </c>
      <c r="H39" s="8" t="s">
        <v>412</v>
      </c>
      <c r="J39" s="6" t="s">
        <v>123</v>
      </c>
      <c r="K39" s="12" t="s">
        <v>442</v>
      </c>
      <c r="L39" s="12" t="s">
        <v>436</v>
      </c>
      <c r="M39" s="12" t="s">
        <v>443</v>
      </c>
      <c r="N39" s="39" t="s">
        <v>444</v>
      </c>
    </row>
    <row r="40" spans="1:15" x14ac:dyDescent="0.35">
      <c r="A40" s="6">
        <f t="shared" si="0"/>
        <v>39</v>
      </c>
      <c r="B40" s="6" t="s">
        <v>294</v>
      </c>
      <c r="C40" s="6" t="s">
        <v>433</v>
      </c>
      <c r="D40" s="6">
        <v>15</v>
      </c>
      <c r="E40" s="6">
        <v>17</v>
      </c>
      <c r="F40" s="6" t="s">
        <v>391</v>
      </c>
      <c r="G40" s="6" t="s">
        <v>119</v>
      </c>
      <c r="H40" s="8" t="s">
        <v>412</v>
      </c>
      <c r="J40" s="6" t="s">
        <v>145</v>
      </c>
      <c r="K40" s="12" t="s">
        <v>445</v>
      </c>
      <c r="L40" s="12" t="s">
        <v>434</v>
      </c>
      <c r="M40" s="12" t="s">
        <v>446</v>
      </c>
      <c r="N40" s="39" t="s">
        <v>447</v>
      </c>
    </row>
    <row r="41" spans="1:15" x14ac:dyDescent="0.35">
      <c r="A41" s="6">
        <f t="shared" si="0"/>
        <v>40</v>
      </c>
      <c r="B41" s="6" t="s">
        <v>295</v>
      </c>
      <c r="C41" s="6" t="s">
        <v>433</v>
      </c>
      <c r="D41" s="6">
        <v>15</v>
      </c>
      <c r="E41" s="6">
        <v>17</v>
      </c>
      <c r="F41" s="6" t="s">
        <v>231</v>
      </c>
      <c r="G41" s="6" t="s">
        <v>119</v>
      </c>
      <c r="H41" s="8" t="s">
        <v>412</v>
      </c>
      <c r="J41" s="6" t="s">
        <v>145</v>
      </c>
      <c r="K41" s="12" t="s">
        <v>448</v>
      </c>
      <c r="L41" s="12" t="s">
        <v>436</v>
      </c>
      <c r="M41" s="12" t="s">
        <v>449</v>
      </c>
      <c r="N41" s="39" t="s">
        <v>450</v>
      </c>
    </row>
    <row r="42" spans="1:15" x14ac:dyDescent="0.35">
      <c r="A42" s="6">
        <f t="shared" si="0"/>
        <v>41</v>
      </c>
      <c r="B42" s="6" t="s">
        <v>296</v>
      </c>
      <c r="C42" s="6" t="s">
        <v>433</v>
      </c>
      <c r="D42" s="6">
        <v>15</v>
      </c>
      <c r="E42" s="6">
        <v>17</v>
      </c>
      <c r="F42" s="6" t="s">
        <v>231</v>
      </c>
      <c r="G42" s="6" t="s">
        <v>464</v>
      </c>
      <c r="H42" s="8" t="s">
        <v>412</v>
      </c>
      <c r="K42" s="12" t="s">
        <v>497</v>
      </c>
      <c r="L42" s="12" t="s">
        <v>436</v>
      </c>
      <c r="M42" s="12" t="s">
        <v>498</v>
      </c>
      <c r="N42" s="39" t="s">
        <v>499</v>
      </c>
      <c r="O42" s="12" t="s">
        <v>533</v>
      </c>
    </row>
    <row r="43" spans="1:15" x14ac:dyDescent="0.35">
      <c r="A43" s="6">
        <f t="shared" si="0"/>
        <v>42</v>
      </c>
      <c r="B43" s="6" t="s">
        <v>297</v>
      </c>
      <c r="C43" s="6" t="s">
        <v>433</v>
      </c>
      <c r="D43" s="6">
        <v>15</v>
      </c>
      <c r="E43" s="6">
        <v>17</v>
      </c>
      <c r="F43" s="6" t="s">
        <v>231</v>
      </c>
      <c r="G43" s="6" t="s">
        <v>465</v>
      </c>
      <c r="H43" s="8" t="s">
        <v>412</v>
      </c>
      <c r="K43" s="12" t="s">
        <v>497</v>
      </c>
      <c r="L43" s="12" t="s">
        <v>500</v>
      </c>
      <c r="M43" s="12" t="s">
        <v>501</v>
      </c>
      <c r="N43" s="39" t="s">
        <v>499</v>
      </c>
      <c r="O43" s="12" t="s">
        <v>533</v>
      </c>
    </row>
    <row r="44" spans="1:15" x14ac:dyDescent="0.35">
      <c r="A44" s="6">
        <f t="shared" si="0"/>
        <v>43</v>
      </c>
      <c r="B44" s="6" t="s">
        <v>298</v>
      </c>
      <c r="C44" s="6" t="s">
        <v>433</v>
      </c>
      <c r="D44" s="6">
        <v>15</v>
      </c>
      <c r="E44" s="6">
        <v>17</v>
      </c>
      <c r="F44" s="6" t="s">
        <v>231</v>
      </c>
      <c r="G44" s="6" t="s">
        <v>466</v>
      </c>
      <c r="H44" s="8" t="s">
        <v>412</v>
      </c>
      <c r="K44" s="12" t="s">
        <v>502</v>
      </c>
      <c r="L44" s="12" t="s">
        <v>503</v>
      </c>
      <c r="M44" s="12" t="s">
        <v>504</v>
      </c>
      <c r="N44" s="39" t="s">
        <v>505</v>
      </c>
      <c r="O44" s="12" t="s">
        <v>533</v>
      </c>
    </row>
    <row r="45" spans="1:15" x14ac:dyDescent="0.35">
      <c r="A45" s="6">
        <f t="shared" si="0"/>
        <v>44</v>
      </c>
      <c r="B45" s="6" t="s">
        <v>299</v>
      </c>
      <c r="C45" s="6" t="s">
        <v>433</v>
      </c>
      <c r="D45" s="6">
        <v>15</v>
      </c>
      <c r="E45" s="6">
        <v>17</v>
      </c>
      <c r="F45" s="6" t="s">
        <v>231</v>
      </c>
      <c r="G45" s="6" t="s">
        <v>467</v>
      </c>
      <c r="H45" s="8" t="s">
        <v>412</v>
      </c>
      <c r="K45" s="12" t="s">
        <v>506</v>
      </c>
      <c r="L45" s="12" t="s">
        <v>507</v>
      </c>
      <c r="M45" s="12" t="s">
        <v>508</v>
      </c>
      <c r="N45" s="39" t="s">
        <v>509</v>
      </c>
      <c r="O45" s="12" t="s">
        <v>533</v>
      </c>
    </row>
    <row r="46" spans="1:15" x14ac:dyDescent="0.35">
      <c r="A46" s="6">
        <f t="shared" si="0"/>
        <v>45</v>
      </c>
      <c r="B46" s="6" t="s">
        <v>300</v>
      </c>
      <c r="C46" s="6" t="s">
        <v>451</v>
      </c>
      <c r="D46" s="6">
        <v>18</v>
      </c>
      <c r="E46" s="6">
        <v>29</v>
      </c>
      <c r="F46" s="6" t="s">
        <v>391</v>
      </c>
      <c r="G46" s="6" t="s">
        <v>119</v>
      </c>
      <c r="H46" s="8" t="s">
        <v>535</v>
      </c>
      <c r="J46" s="6" t="s">
        <v>120</v>
      </c>
      <c r="K46" s="12" t="s">
        <v>452</v>
      </c>
      <c r="L46" s="12" t="s">
        <v>453</v>
      </c>
      <c r="M46" s="12" t="s">
        <v>454</v>
      </c>
      <c r="N46" s="39" t="s">
        <v>455</v>
      </c>
    </row>
    <row r="47" spans="1:15" x14ac:dyDescent="0.35">
      <c r="A47" s="6">
        <f t="shared" si="0"/>
        <v>46</v>
      </c>
      <c r="B47" s="6" t="s">
        <v>301</v>
      </c>
      <c r="C47" s="6" t="s">
        <v>451</v>
      </c>
      <c r="D47" s="6">
        <v>18</v>
      </c>
      <c r="E47" s="6">
        <v>29</v>
      </c>
      <c r="F47" s="6" t="s">
        <v>231</v>
      </c>
      <c r="G47" s="6" t="s">
        <v>463</v>
      </c>
      <c r="H47" s="8" t="s">
        <v>535</v>
      </c>
      <c r="J47" s="6" t="s">
        <v>120</v>
      </c>
      <c r="K47" s="12" t="s">
        <v>457</v>
      </c>
      <c r="L47" s="12" t="s">
        <v>393</v>
      </c>
      <c r="M47" s="12" t="s">
        <v>468</v>
      </c>
      <c r="N47" s="39" t="s">
        <v>469</v>
      </c>
    </row>
    <row r="48" spans="1:15" x14ac:dyDescent="0.35">
      <c r="A48" s="6">
        <f t="shared" si="0"/>
        <v>47</v>
      </c>
      <c r="B48" s="6" t="s">
        <v>493</v>
      </c>
      <c r="C48" s="6" t="s">
        <v>451</v>
      </c>
      <c r="D48" s="6">
        <v>18</v>
      </c>
      <c r="E48" s="6">
        <v>29</v>
      </c>
      <c r="F48" s="6" t="s">
        <v>391</v>
      </c>
      <c r="G48" s="6" t="s">
        <v>119</v>
      </c>
      <c r="H48" s="8" t="s">
        <v>535</v>
      </c>
      <c r="J48" s="6" t="s">
        <v>123</v>
      </c>
      <c r="K48" s="12" t="s">
        <v>470</v>
      </c>
      <c r="L48" s="12" t="s">
        <v>453</v>
      </c>
      <c r="M48" s="12" t="s">
        <v>471</v>
      </c>
      <c r="N48" s="39" t="s">
        <v>472</v>
      </c>
    </row>
    <row r="49" spans="1:15" x14ac:dyDescent="0.35">
      <c r="A49" s="6">
        <f t="shared" si="0"/>
        <v>48</v>
      </c>
      <c r="B49" s="6" t="s">
        <v>302</v>
      </c>
      <c r="C49" s="6" t="s">
        <v>451</v>
      </c>
      <c r="D49" s="6">
        <v>18</v>
      </c>
      <c r="E49" s="6">
        <v>29</v>
      </c>
      <c r="F49" s="6" t="s">
        <v>231</v>
      </c>
      <c r="G49" s="6" t="s">
        <v>463</v>
      </c>
      <c r="H49" s="8" t="s">
        <v>535</v>
      </c>
      <c r="J49" s="6" t="s">
        <v>123</v>
      </c>
      <c r="K49" s="12" t="s">
        <v>365</v>
      </c>
      <c r="L49" s="12" t="s">
        <v>393</v>
      </c>
      <c r="M49" s="12" t="s">
        <v>473</v>
      </c>
      <c r="N49" s="39" t="s">
        <v>386</v>
      </c>
    </row>
    <row r="50" spans="1:15" x14ac:dyDescent="0.35">
      <c r="A50" s="6">
        <f t="shared" si="0"/>
        <v>49</v>
      </c>
      <c r="B50" s="6" t="s">
        <v>303</v>
      </c>
      <c r="C50" s="6" t="s">
        <v>451</v>
      </c>
      <c r="D50" s="6">
        <v>18</v>
      </c>
      <c r="E50" s="6">
        <v>29</v>
      </c>
      <c r="F50" s="6" t="s">
        <v>391</v>
      </c>
      <c r="G50" s="6" t="s">
        <v>119</v>
      </c>
      <c r="H50" s="8" t="s">
        <v>535</v>
      </c>
      <c r="J50" s="6" t="s">
        <v>145</v>
      </c>
      <c r="K50" s="12" t="s">
        <v>474</v>
      </c>
      <c r="L50" s="12" t="s">
        <v>453</v>
      </c>
      <c r="M50" s="12" t="s">
        <v>475</v>
      </c>
      <c r="N50" s="39" t="s">
        <v>476</v>
      </c>
    </row>
    <row r="51" spans="1:15" x14ac:dyDescent="0.35">
      <c r="A51" s="6">
        <f t="shared" si="0"/>
        <v>50</v>
      </c>
      <c r="B51" s="6" t="s">
        <v>304</v>
      </c>
      <c r="C51" s="6" t="s">
        <v>451</v>
      </c>
      <c r="D51" s="6">
        <v>18</v>
      </c>
      <c r="E51" s="6">
        <v>29</v>
      </c>
      <c r="F51" s="6" t="s">
        <v>231</v>
      </c>
      <c r="G51" s="6" t="s">
        <v>463</v>
      </c>
      <c r="H51" s="8" t="s">
        <v>535</v>
      </c>
      <c r="J51" s="6" t="s">
        <v>145</v>
      </c>
      <c r="K51" s="12" t="s">
        <v>477</v>
      </c>
      <c r="L51" s="12" t="s">
        <v>393</v>
      </c>
      <c r="M51" s="12" t="s">
        <v>478</v>
      </c>
      <c r="N51" s="39" t="s">
        <v>479</v>
      </c>
    </row>
    <row r="52" spans="1:15" x14ac:dyDescent="0.35">
      <c r="A52" s="6">
        <f t="shared" si="0"/>
        <v>51</v>
      </c>
      <c r="B52" s="6" t="s">
        <v>305</v>
      </c>
      <c r="C52" s="6" t="s">
        <v>451</v>
      </c>
      <c r="D52" s="6">
        <v>18</v>
      </c>
      <c r="E52" s="6">
        <v>29</v>
      </c>
      <c r="F52" s="6" t="s">
        <v>231</v>
      </c>
      <c r="G52" s="6" t="s">
        <v>464</v>
      </c>
      <c r="H52" s="8" t="s">
        <v>535</v>
      </c>
      <c r="K52" s="12" t="s">
        <v>480</v>
      </c>
      <c r="L52" s="12" t="s">
        <v>393</v>
      </c>
      <c r="M52" s="12" t="s">
        <v>481</v>
      </c>
      <c r="N52" s="39" t="s">
        <v>482</v>
      </c>
    </row>
    <row r="53" spans="1:15" x14ac:dyDescent="0.35">
      <c r="A53" s="6">
        <f t="shared" si="0"/>
        <v>52</v>
      </c>
      <c r="B53" s="6" t="s">
        <v>306</v>
      </c>
      <c r="C53" s="6" t="s">
        <v>451</v>
      </c>
      <c r="D53" s="6">
        <v>18</v>
      </c>
      <c r="E53" s="6">
        <v>29</v>
      </c>
      <c r="F53" s="6" t="s">
        <v>231</v>
      </c>
      <c r="G53" s="6" t="s">
        <v>465</v>
      </c>
      <c r="H53" s="8" t="s">
        <v>535</v>
      </c>
      <c r="K53" s="12" t="s">
        <v>483</v>
      </c>
      <c r="L53" s="12" t="s">
        <v>418</v>
      </c>
      <c r="M53" s="12" t="s">
        <v>484</v>
      </c>
      <c r="N53" s="39" t="s">
        <v>485</v>
      </c>
    </row>
    <row r="54" spans="1:15" x14ac:dyDescent="0.35">
      <c r="A54" s="6">
        <f t="shared" si="0"/>
        <v>53</v>
      </c>
      <c r="B54" s="6" t="s">
        <v>307</v>
      </c>
      <c r="C54" s="6" t="s">
        <v>451</v>
      </c>
      <c r="D54" s="6">
        <v>18</v>
      </c>
      <c r="E54" s="6">
        <v>29</v>
      </c>
      <c r="F54" s="6" t="s">
        <v>231</v>
      </c>
      <c r="G54" s="6" t="s">
        <v>466</v>
      </c>
      <c r="H54" s="8" t="s">
        <v>535</v>
      </c>
      <c r="K54" s="12" t="s">
        <v>421</v>
      </c>
      <c r="L54" s="12" t="s">
        <v>486</v>
      </c>
      <c r="M54" s="12" t="s">
        <v>487</v>
      </c>
      <c r="N54" s="39" t="s">
        <v>423</v>
      </c>
    </row>
    <row r="55" spans="1:15" x14ac:dyDescent="0.35">
      <c r="A55" s="6">
        <f t="shared" si="0"/>
        <v>54</v>
      </c>
      <c r="B55" s="6" t="s">
        <v>308</v>
      </c>
      <c r="C55" s="6" t="s">
        <v>451</v>
      </c>
      <c r="D55" s="6">
        <v>18</v>
      </c>
      <c r="E55" s="6">
        <v>29</v>
      </c>
      <c r="F55" s="6" t="s">
        <v>231</v>
      </c>
      <c r="G55" s="6" t="s">
        <v>467</v>
      </c>
      <c r="H55" s="8" t="s">
        <v>535</v>
      </c>
      <c r="K55" s="12" t="s">
        <v>488</v>
      </c>
      <c r="L55" s="12" t="s">
        <v>489</v>
      </c>
      <c r="M55" s="12" t="s">
        <v>490</v>
      </c>
      <c r="N55" s="39" t="s">
        <v>491</v>
      </c>
    </row>
    <row r="56" spans="1:15" x14ac:dyDescent="0.35">
      <c r="A56" s="6">
        <f t="shared" si="0"/>
        <v>55</v>
      </c>
      <c r="B56" s="6" t="s">
        <v>309</v>
      </c>
      <c r="C56" s="6" t="s">
        <v>492</v>
      </c>
      <c r="D56" s="6">
        <v>30</v>
      </c>
      <c r="E56" s="6">
        <v>49</v>
      </c>
      <c r="F56" s="6" t="s">
        <v>391</v>
      </c>
      <c r="G56" s="6" t="s">
        <v>119</v>
      </c>
      <c r="H56" s="8" t="s">
        <v>456</v>
      </c>
      <c r="J56" s="6" t="s">
        <v>120</v>
      </c>
      <c r="K56" s="12" t="s">
        <v>417</v>
      </c>
      <c r="L56" s="12" t="s">
        <v>510</v>
      </c>
      <c r="M56" s="12" t="s">
        <v>511</v>
      </c>
      <c r="N56" s="39" t="s">
        <v>420</v>
      </c>
    </row>
    <row r="57" spans="1:15" x14ac:dyDescent="0.35">
      <c r="A57" s="6">
        <f t="shared" si="0"/>
        <v>56</v>
      </c>
      <c r="B57" s="6" t="s">
        <v>310</v>
      </c>
      <c r="C57" s="6" t="s">
        <v>492</v>
      </c>
      <c r="D57" s="6">
        <v>30</v>
      </c>
      <c r="E57" s="6">
        <v>49</v>
      </c>
      <c r="F57" s="6" t="s">
        <v>231</v>
      </c>
      <c r="G57" s="6" t="s">
        <v>463</v>
      </c>
      <c r="H57" s="8" t="s">
        <v>456</v>
      </c>
      <c r="J57" s="6" t="s">
        <v>120</v>
      </c>
      <c r="K57" s="12" t="s">
        <v>382</v>
      </c>
      <c r="L57" s="12" t="s">
        <v>393</v>
      </c>
      <c r="M57" s="12" t="s">
        <v>512</v>
      </c>
      <c r="N57" s="39" t="s">
        <v>384</v>
      </c>
    </row>
    <row r="58" spans="1:15" x14ac:dyDescent="0.35">
      <c r="A58" s="6">
        <f t="shared" si="0"/>
        <v>57</v>
      </c>
      <c r="B58" s="6" t="s">
        <v>311</v>
      </c>
      <c r="C58" s="6" t="s">
        <v>492</v>
      </c>
      <c r="D58" s="6">
        <v>30</v>
      </c>
      <c r="E58" s="6">
        <v>49</v>
      </c>
      <c r="F58" s="6" t="s">
        <v>391</v>
      </c>
      <c r="G58" s="6" t="s">
        <v>119</v>
      </c>
      <c r="H58" s="8" t="s">
        <v>456</v>
      </c>
      <c r="J58" s="6" t="s">
        <v>123</v>
      </c>
      <c r="K58" s="12" t="s">
        <v>442</v>
      </c>
      <c r="L58" s="12" t="s">
        <v>510</v>
      </c>
      <c r="M58" s="12" t="s">
        <v>513</v>
      </c>
      <c r="N58" s="39" t="s">
        <v>444</v>
      </c>
    </row>
    <row r="59" spans="1:15" x14ac:dyDescent="0.35">
      <c r="A59" s="6">
        <f t="shared" si="0"/>
        <v>58</v>
      </c>
      <c r="B59" s="6" t="s">
        <v>312</v>
      </c>
      <c r="C59" s="6" t="s">
        <v>492</v>
      </c>
      <c r="D59" s="6">
        <v>30</v>
      </c>
      <c r="E59" s="6">
        <v>49</v>
      </c>
      <c r="F59" s="6" t="s">
        <v>231</v>
      </c>
      <c r="G59" s="6" t="s">
        <v>463</v>
      </c>
      <c r="H59" s="8" t="s">
        <v>456</v>
      </c>
      <c r="J59" s="6" t="s">
        <v>123</v>
      </c>
      <c r="K59" s="12" t="s">
        <v>514</v>
      </c>
      <c r="L59" s="12" t="s">
        <v>393</v>
      </c>
      <c r="M59" s="12" t="s">
        <v>515</v>
      </c>
      <c r="N59" s="39" t="s">
        <v>516</v>
      </c>
    </row>
    <row r="60" spans="1:15" x14ac:dyDescent="0.35">
      <c r="A60" s="6">
        <f t="shared" si="0"/>
        <v>59</v>
      </c>
      <c r="B60" s="6" t="s">
        <v>313</v>
      </c>
      <c r="C60" s="6" t="s">
        <v>492</v>
      </c>
      <c r="D60" s="6">
        <v>30</v>
      </c>
      <c r="E60" s="6">
        <v>49</v>
      </c>
      <c r="F60" s="6" t="s">
        <v>391</v>
      </c>
      <c r="G60" s="6" t="s">
        <v>119</v>
      </c>
      <c r="H60" s="8" t="s">
        <v>456</v>
      </c>
      <c r="J60" s="6" t="s">
        <v>145</v>
      </c>
      <c r="K60" s="12" t="s">
        <v>517</v>
      </c>
      <c r="L60" s="12" t="s">
        <v>510</v>
      </c>
      <c r="M60" s="12" t="s">
        <v>518</v>
      </c>
      <c r="N60" s="39" t="s">
        <v>519</v>
      </c>
    </row>
    <row r="61" spans="1:15" x14ac:dyDescent="0.35">
      <c r="A61" s="6">
        <f t="shared" si="0"/>
        <v>60</v>
      </c>
      <c r="B61" s="6" t="s">
        <v>314</v>
      </c>
      <c r="C61" s="6" t="s">
        <v>492</v>
      </c>
      <c r="D61" s="6">
        <v>30</v>
      </c>
      <c r="E61" s="6">
        <v>49</v>
      </c>
      <c r="F61" s="6" t="s">
        <v>231</v>
      </c>
      <c r="G61" s="6" t="s">
        <v>463</v>
      </c>
      <c r="H61" s="8" t="s">
        <v>456</v>
      </c>
      <c r="J61" s="6" t="s">
        <v>145</v>
      </c>
      <c r="K61" s="12" t="s">
        <v>483</v>
      </c>
      <c r="L61" s="12" t="s">
        <v>393</v>
      </c>
      <c r="M61" s="12" t="s">
        <v>520</v>
      </c>
      <c r="N61" s="39" t="s">
        <v>485</v>
      </c>
    </row>
    <row r="62" spans="1:15" x14ac:dyDescent="0.35">
      <c r="A62" s="6">
        <f t="shared" si="0"/>
        <v>61</v>
      </c>
      <c r="B62" s="6" t="s">
        <v>315</v>
      </c>
      <c r="C62" s="6" t="s">
        <v>492</v>
      </c>
      <c r="D62" s="6">
        <v>30</v>
      </c>
      <c r="E62" s="6">
        <v>49</v>
      </c>
      <c r="F62" s="6" t="s">
        <v>231</v>
      </c>
      <c r="G62" s="6" t="s">
        <v>464</v>
      </c>
      <c r="H62" s="8" t="s">
        <v>456</v>
      </c>
      <c r="K62" s="12" t="s">
        <v>521</v>
      </c>
      <c r="L62" s="12" t="s">
        <v>393</v>
      </c>
      <c r="M62" s="12" t="s">
        <v>522</v>
      </c>
      <c r="N62" s="39" t="s">
        <v>523</v>
      </c>
      <c r="O62" s="12" t="s">
        <v>705</v>
      </c>
    </row>
    <row r="63" spans="1:15" x14ac:dyDescent="0.35">
      <c r="A63" s="6">
        <f t="shared" si="0"/>
        <v>62</v>
      </c>
      <c r="B63" s="6" t="s">
        <v>316</v>
      </c>
      <c r="C63" s="6" t="s">
        <v>492</v>
      </c>
      <c r="D63" s="6">
        <v>30</v>
      </c>
      <c r="E63" s="6">
        <v>49</v>
      </c>
      <c r="F63" s="6" t="s">
        <v>231</v>
      </c>
      <c r="G63" s="6" t="s">
        <v>465</v>
      </c>
      <c r="H63" s="8" t="s">
        <v>456</v>
      </c>
      <c r="K63" s="12" t="s">
        <v>524</v>
      </c>
      <c r="L63" s="12" t="s">
        <v>418</v>
      </c>
      <c r="M63" s="12" t="s">
        <v>418</v>
      </c>
      <c r="N63" s="39" t="s">
        <v>525</v>
      </c>
      <c r="O63" s="12" t="s">
        <v>705</v>
      </c>
    </row>
    <row r="64" spans="1:15" x14ac:dyDescent="0.35">
      <c r="A64" s="6">
        <f t="shared" si="0"/>
        <v>63</v>
      </c>
      <c r="B64" s="6" t="s">
        <v>317</v>
      </c>
      <c r="C64" s="6" t="s">
        <v>492</v>
      </c>
      <c r="D64" s="6">
        <v>30</v>
      </c>
      <c r="E64" s="6">
        <v>49</v>
      </c>
      <c r="F64" s="6" t="s">
        <v>231</v>
      </c>
      <c r="G64" s="6" t="s">
        <v>466</v>
      </c>
      <c r="H64" s="8" t="s">
        <v>456</v>
      </c>
      <c r="K64" s="12" t="s">
        <v>526</v>
      </c>
      <c r="L64" s="12" t="s">
        <v>486</v>
      </c>
      <c r="M64" s="12" t="s">
        <v>527</v>
      </c>
      <c r="N64" s="39" t="s">
        <v>528</v>
      </c>
      <c r="O64" s="12" t="s">
        <v>705</v>
      </c>
    </row>
    <row r="65" spans="1:15" x14ac:dyDescent="0.35">
      <c r="A65" s="6">
        <f t="shared" si="0"/>
        <v>64</v>
      </c>
      <c r="B65" s="6" t="s">
        <v>318</v>
      </c>
      <c r="C65" s="6" t="s">
        <v>492</v>
      </c>
      <c r="D65" s="6">
        <v>30</v>
      </c>
      <c r="E65" s="6">
        <v>49</v>
      </c>
      <c r="F65" s="6" t="s">
        <v>231</v>
      </c>
      <c r="G65" s="6" t="s">
        <v>467</v>
      </c>
      <c r="H65" s="8" t="s">
        <v>456</v>
      </c>
      <c r="K65" s="12" t="s">
        <v>529</v>
      </c>
      <c r="L65" s="12" t="s">
        <v>489</v>
      </c>
      <c r="M65" s="12" t="s">
        <v>530</v>
      </c>
      <c r="N65" s="39" t="s">
        <v>531</v>
      </c>
      <c r="O65" s="12" t="s">
        <v>705</v>
      </c>
    </row>
    <row r="66" spans="1:15" x14ac:dyDescent="0.35">
      <c r="A66" s="6">
        <f t="shared" si="0"/>
        <v>65</v>
      </c>
      <c r="B66" s="6" t="s">
        <v>319</v>
      </c>
      <c r="C66" s="6" t="s">
        <v>532</v>
      </c>
      <c r="D66" s="6">
        <v>50</v>
      </c>
      <c r="E66" s="6">
        <v>64</v>
      </c>
      <c r="F66" s="6" t="s">
        <v>391</v>
      </c>
      <c r="G66" s="6" t="s">
        <v>119</v>
      </c>
      <c r="H66" s="6" t="s">
        <v>534</v>
      </c>
      <c r="J66" s="6" t="s">
        <v>120</v>
      </c>
      <c r="K66" s="12" t="s">
        <v>536</v>
      </c>
      <c r="L66" s="12" t="s">
        <v>436</v>
      </c>
      <c r="M66" s="12" t="s">
        <v>537</v>
      </c>
      <c r="N66" s="39" t="s">
        <v>538</v>
      </c>
    </row>
    <row r="67" spans="1:15" x14ac:dyDescent="0.35">
      <c r="A67" s="6">
        <f t="shared" si="0"/>
        <v>66</v>
      </c>
      <c r="B67" s="6" t="s">
        <v>320</v>
      </c>
      <c r="C67" s="6" t="s">
        <v>532</v>
      </c>
      <c r="D67" s="6">
        <v>50</v>
      </c>
      <c r="E67" s="6">
        <v>64</v>
      </c>
      <c r="F67" s="6" t="s">
        <v>231</v>
      </c>
      <c r="G67" s="6" t="s">
        <v>119</v>
      </c>
      <c r="H67" s="6" t="s">
        <v>534</v>
      </c>
      <c r="J67" s="6" t="s">
        <v>120</v>
      </c>
      <c r="K67" s="12" t="s">
        <v>539</v>
      </c>
      <c r="L67" s="12" t="s">
        <v>540</v>
      </c>
      <c r="M67" s="12" t="s">
        <v>541</v>
      </c>
      <c r="N67" s="39" t="s">
        <v>542</v>
      </c>
    </row>
    <row r="68" spans="1:15" x14ac:dyDescent="0.35">
      <c r="A68" s="6">
        <f t="shared" si="0"/>
        <v>67</v>
      </c>
      <c r="B68" s="6" t="s">
        <v>321</v>
      </c>
      <c r="C68" s="6" t="s">
        <v>532</v>
      </c>
      <c r="D68" s="6">
        <v>50</v>
      </c>
      <c r="E68" s="6">
        <v>64</v>
      </c>
      <c r="F68" s="6" t="s">
        <v>391</v>
      </c>
      <c r="G68" s="6" t="s">
        <v>119</v>
      </c>
      <c r="H68" s="6" t="s">
        <v>534</v>
      </c>
      <c r="J68" s="6" t="s">
        <v>123</v>
      </c>
      <c r="K68" s="12" t="s">
        <v>543</v>
      </c>
      <c r="L68" s="12" t="s">
        <v>436</v>
      </c>
      <c r="M68" s="12" t="s">
        <v>544</v>
      </c>
      <c r="N68" s="39" t="s">
        <v>545</v>
      </c>
    </row>
    <row r="69" spans="1:15" x14ac:dyDescent="0.35">
      <c r="A69" s="6">
        <f t="shared" si="0"/>
        <v>68</v>
      </c>
      <c r="B69" s="6" t="s">
        <v>322</v>
      </c>
      <c r="C69" s="6" t="s">
        <v>532</v>
      </c>
      <c r="D69" s="6">
        <v>50</v>
      </c>
      <c r="E69" s="6">
        <v>64</v>
      </c>
      <c r="F69" s="6" t="s">
        <v>231</v>
      </c>
      <c r="G69" s="6" t="s">
        <v>119</v>
      </c>
      <c r="H69" s="6" t="s">
        <v>534</v>
      </c>
      <c r="J69" s="6" t="s">
        <v>123</v>
      </c>
      <c r="K69" s="12" t="s">
        <v>402</v>
      </c>
      <c r="L69" s="12" t="s">
        <v>540</v>
      </c>
      <c r="M69" s="12" t="s">
        <v>546</v>
      </c>
      <c r="N69" s="39" t="s">
        <v>404</v>
      </c>
    </row>
    <row r="70" spans="1:15" x14ac:dyDescent="0.35">
      <c r="A70" s="6">
        <f t="shared" si="0"/>
        <v>69</v>
      </c>
      <c r="B70" s="6" t="s">
        <v>323</v>
      </c>
      <c r="C70" s="6" t="s">
        <v>532</v>
      </c>
      <c r="D70" s="6">
        <v>50</v>
      </c>
      <c r="E70" s="6">
        <v>64</v>
      </c>
      <c r="F70" s="6" t="s">
        <v>391</v>
      </c>
      <c r="G70" s="6" t="s">
        <v>119</v>
      </c>
      <c r="H70" s="6" t="s">
        <v>534</v>
      </c>
      <c r="J70" s="6" t="s">
        <v>145</v>
      </c>
      <c r="K70" s="12" t="s">
        <v>547</v>
      </c>
      <c r="L70" s="12" t="s">
        <v>436</v>
      </c>
      <c r="M70" s="12" t="s">
        <v>548</v>
      </c>
      <c r="N70" s="39" t="s">
        <v>549</v>
      </c>
    </row>
    <row r="71" spans="1:15" x14ac:dyDescent="0.35">
      <c r="A71" s="6">
        <f t="shared" si="0"/>
        <v>70</v>
      </c>
      <c r="B71" s="6" t="s">
        <v>324</v>
      </c>
      <c r="C71" s="6" t="s">
        <v>532</v>
      </c>
      <c r="D71" s="6">
        <v>50</v>
      </c>
      <c r="E71" s="6">
        <v>64</v>
      </c>
      <c r="F71" s="6" t="s">
        <v>231</v>
      </c>
      <c r="G71" s="6" t="s">
        <v>119</v>
      </c>
      <c r="H71" s="6" t="s">
        <v>534</v>
      </c>
      <c r="J71" s="6" t="s">
        <v>145</v>
      </c>
      <c r="K71" s="12" t="s">
        <v>524</v>
      </c>
      <c r="L71" s="12" t="s">
        <v>540</v>
      </c>
      <c r="M71" s="12" t="s">
        <v>550</v>
      </c>
      <c r="N71" s="39" t="s">
        <v>525</v>
      </c>
    </row>
    <row r="72" spans="1:15" x14ac:dyDescent="0.35">
      <c r="A72" s="6">
        <f t="shared" si="0"/>
        <v>71</v>
      </c>
      <c r="B72" s="6" t="s">
        <v>325</v>
      </c>
      <c r="C72" s="6" t="s">
        <v>551</v>
      </c>
      <c r="D72" s="6">
        <v>65</v>
      </c>
      <c r="E72" s="6">
        <v>74</v>
      </c>
      <c r="F72" s="6" t="s">
        <v>391</v>
      </c>
      <c r="G72" s="6" t="s">
        <v>119</v>
      </c>
      <c r="H72" s="8" t="s">
        <v>552</v>
      </c>
      <c r="J72" s="6" t="s">
        <v>120</v>
      </c>
      <c r="K72" s="12" t="s">
        <v>553</v>
      </c>
      <c r="L72" s="12" t="s">
        <v>510</v>
      </c>
      <c r="M72" s="12" t="s">
        <v>554</v>
      </c>
      <c r="N72" s="39" t="s">
        <v>555</v>
      </c>
    </row>
    <row r="73" spans="1:15" x14ac:dyDescent="0.35">
      <c r="A73" s="6">
        <f t="shared" si="0"/>
        <v>72</v>
      </c>
      <c r="B73" s="6" t="s">
        <v>326</v>
      </c>
      <c r="C73" s="6" t="s">
        <v>551</v>
      </c>
      <c r="D73" s="6">
        <v>65</v>
      </c>
      <c r="E73" s="6">
        <v>74</v>
      </c>
      <c r="F73" s="6" t="s">
        <v>231</v>
      </c>
      <c r="G73" s="6" t="s">
        <v>119</v>
      </c>
      <c r="H73" s="8" t="s">
        <v>552</v>
      </c>
      <c r="J73" s="6" t="s">
        <v>120</v>
      </c>
      <c r="K73" s="12" t="s">
        <v>556</v>
      </c>
      <c r="L73" s="12" t="s">
        <v>397</v>
      </c>
      <c r="M73" s="12" t="s">
        <v>557</v>
      </c>
      <c r="N73" s="39" t="s">
        <v>558</v>
      </c>
    </row>
    <row r="74" spans="1:15" x14ac:dyDescent="0.35">
      <c r="A74" s="6">
        <f t="shared" si="0"/>
        <v>73</v>
      </c>
      <c r="B74" s="6" t="s">
        <v>327</v>
      </c>
      <c r="C74" s="6" t="s">
        <v>551</v>
      </c>
      <c r="D74" s="6">
        <v>65</v>
      </c>
      <c r="E74" s="6">
        <v>74</v>
      </c>
      <c r="F74" s="6" t="s">
        <v>391</v>
      </c>
      <c r="G74" s="6" t="s">
        <v>119</v>
      </c>
      <c r="H74" s="8" t="s">
        <v>552</v>
      </c>
      <c r="J74" s="6" t="s">
        <v>123</v>
      </c>
      <c r="K74" s="12" t="s">
        <v>559</v>
      </c>
      <c r="L74" s="12" t="s">
        <v>510</v>
      </c>
      <c r="M74" s="12" t="s">
        <v>560</v>
      </c>
      <c r="N74" s="39" t="s">
        <v>561</v>
      </c>
    </row>
    <row r="75" spans="1:15" x14ac:dyDescent="0.35">
      <c r="A75" s="6">
        <f t="shared" ref="A75:A109" si="1">ROW()-1</f>
        <v>74</v>
      </c>
      <c r="B75" s="6" t="s">
        <v>328</v>
      </c>
      <c r="C75" s="6" t="s">
        <v>551</v>
      </c>
      <c r="D75" s="6">
        <v>65</v>
      </c>
      <c r="E75" s="6">
        <v>74</v>
      </c>
      <c r="F75" s="6" t="s">
        <v>231</v>
      </c>
      <c r="G75" s="6" t="s">
        <v>119</v>
      </c>
      <c r="H75" s="8" t="s">
        <v>552</v>
      </c>
      <c r="J75" s="6" t="s">
        <v>123</v>
      </c>
      <c r="K75" s="12" t="s">
        <v>378</v>
      </c>
      <c r="L75" s="12" t="s">
        <v>397</v>
      </c>
      <c r="M75" s="12" t="s">
        <v>562</v>
      </c>
      <c r="N75" s="39" t="s">
        <v>380</v>
      </c>
    </row>
    <row r="76" spans="1:15" x14ac:dyDescent="0.35">
      <c r="A76" s="6">
        <f t="shared" si="1"/>
        <v>75</v>
      </c>
      <c r="B76" s="6" t="s">
        <v>329</v>
      </c>
      <c r="C76" s="6" t="s">
        <v>551</v>
      </c>
      <c r="D76" s="6">
        <v>65</v>
      </c>
      <c r="E76" s="6">
        <v>74</v>
      </c>
      <c r="F76" s="6" t="s">
        <v>391</v>
      </c>
      <c r="G76" s="6" t="s">
        <v>119</v>
      </c>
      <c r="H76" s="8" t="s">
        <v>552</v>
      </c>
      <c r="J76" s="6" t="s">
        <v>145</v>
      </c>
      <c r="K76" s="12" t="s">
        <v>563</v>
      </c>
      <c r="L76" s="12" t="s">
        <v>510</v>
      </c>
      <c r="M76" s="12" t="s">
        <v>564</v>
      </c>
      <c r="N76" s="39" t="s">
        <v>565</v>
      </c>
    </row>
    <row r="77" spans="1:15" x14ac:dyDescent="0.35">
      <c r="A77" s="6">
        <f t="shared" si="1"/>
        <v>76</v>
      </c>
      <c r="B77" s="6" t="s">
        <v>330</v>
      </c>
      <c r="C77" s="6" t="s">
        <v>551</v>
      </c>
      <c r="D77" s="6">
        <v>65</v>
      </c>
      <c r="E77" s="6">
        <v>74</v>
      </c>
      <c r="F77" s="6" t="s">
        <v>231</v>
      </c>
      <c r="G77" s="6" t="s">
        <v>119</v>
      </c>
      <c r="H77" s="8" t="s">
        <v>552</v>
      </c>
      <c r="J77" s="6" t="s">
        <v>145</v>
      </c>
      <c r="K77" s="12" t="s">
        <v>566</v>
      </c>
      <c r="L77" s="12" t="s">
        <v>397</v>
      </c>
      <c r="M77" s="12" t="s">
        <v>567</v>
      </c>
      <c r="N77" s="39" t="s">
        <v>568</v>
      </c>
    </row>
    <row r="78" spans="1:15" x14ac:dyDescent="0.35">
      <c r="A78" s="6">
        <f t="shared" si="1"/>
        <v>77</v>
      </c>
      <c r="B78" s="6" t="s">
        <v>331</v>
      </c>
      <c r="C78" s="6" t="s">
        <v>569</v>
      </c>
      <c r="D78" s="6">
        <v>75</v>
      </c>
      <c r="E78" s="13" t="s">
        <v>570</v>
      </c>
      <c r="F78" s="6" t="s">
        <v>391</v>
      </c>
      <c r="G78" s="6" t="s">
        <v>119</v>
      </c>
      <c r="H78" s="8" t="s">
        <v>552</v>
      </c>
      <c r="J78" s="6" t="s">
        <v>120</v>
      </c>
      <c r="K78" s="12" t="s">
        <v>576</v>
      </c>
      <c r="L78" s="12" t="s">
        <v>510</v>
      </c>
      <c r="M78" s="12" t="s">
        <v>577</v>
      </c>
      <c r="N78" s="39" t="s">
        <v>578</v>
      </c>
    </row>
    <row r="79" spans="1:15" x14ac:dyDescent="0.35">
      <c r="A79" s="6">
        <f t="shared" si="1"/>
        <v>78</v>
      </c>
      <c r="B79" s="6" t="s">
        <v>332</v>
      </c>
      <c r="C79" s="6" t="s">
        <v>569</v>
      </c>
      <c r="D79" s="6">
        <v>76</v>
      </c>
      <c r="E79" s="13" t="s">
        <v>571</v>
      </c>
      <c r="F79" s="6" t="s">
        <v>231</v>
      </c>
      <c r="G79" s="6" t="s">
        <v>119</v>
      </c>
      <c r="H79" s="8" t="s">
        <v>552</v>
      </c>
      <c r="J79" s="6" t="s">
        <v>120</v>
      </c>
      <c r="K79" s="12" t="s">
        <v>579</v>
      </c>
      <c r="L79" s="12" t="s">
        <v>397</v>
      </c>
      <c r="M79" s="12" t="s">
        <v>580</v>
      </c>
      <c r="N79" s="39" t="s">
        <v>581</v>
      </c>
    </row>
    <row r="80" spans="1:15" x14ac:dyDescent="0.35">
      <c r="A80" s="6">
        <f t="shared" si="1"/>
        <v>79</v>
      </c>
      <c r="B80" s="6" t="s">
        <v>333</v>
      </c>
      <c r="C80" s="6" t="s">
        <v>569</v>
      </c>
      <c r="D80" s="6">
        <v>77</v>
      </c>
      <c r="E80" s="13" t="s">
        <v>572</v>
      </c>
      <c r="F80" s="6" t="s">
        <v>391</v>
      </c>
      <c r="G80" s="6" t="s">
        <v>119</v>
      </c>
      <c r="H80" s="8" t="s">
        <v>552</v>
      </c>
      <c r="J80" s="6" t="s">
        <v>123</v>
      </c>
      <c r="K80" s="12" t="s">
        <v>582</v>
      </c>
      <c r="L80" s="12" t="s">
        <v>510</v>
      </c>
      <c r="M80" s="12" t="s">
        <v>583</v>
      </c>
      <c r="N80" s="39" t="s">
        <v>584</v>
      </c>
    </row>
    <row r="81" spans="1:14" x14ac:dyDescent="0.35">
      <c r="A81" s="6">
        <f t="shared" si="1"/>
        <v>80</v>
      </c>
      <c r="B81" s="6" t="s">
        <v>334</v>
      </c>
      <c r="C81" s="6" t="s">
        <v>569</v>
      </c>
      <c r="D81" s="6">
        <v>78</v>
      </c>
      <c r="E81" s="13" t="s">
        <v>573</v>
      </c>
      <c r="F81" s="6" t="s">
        <v>231</v>
      </c>
      <c r="G81" s="6" t="s">
        <v>119</v>
      </c>
      <c r="H81" s="8" t="s">
        <v>552</v>
      </c>
      <c r="J81" s="6" t="s">
        <v>123</v>
      </c>
      <c r="K81" s="12" t="s">
        <v>585</v>
      </c>
      <c r="L81" s="12" t="s">
        <v>397</v>
      </c>
      <c r="M81" s="12" t="s">
        <v>586</v>
      </c>
      <c r="N81" s="39" t="s">
        <v>587</v>
      </c>
    </row>
    <row r="82" spans="1:14" x14ac:dyDescent="0.35">
      <c r="A82" s="6">
        <f t="shared" si="1"/>
        <v>81</v>
      </c>
      <c r="B82" s="6" t="s">
        <v>335</v>
      </c>
      <c r="C82" s="6" t="s">
        <v>569</v>
      </c>
      <c r="D82" s="6">
        <v>79</v>
      </c>
      <c r="E82" s="13" t="s">
        <v>574</v>
      </c>
      <c r="F82" s="6" t="s">
        <v>391</v>
      </c>
      <c r="G82" s="6" t="s">
        <v>119</v>
      </c>
      <c r="H82" s="8" t="s">
        <v>552</v>
      </c>
      <c r="J82" s="6" t="s">
        <v>145</v>
      </c>
      <c r="K82" s="6">
        <v>0</v>
      </c>
      <c r="L82" s="12" t="s">
        <v>510</v>
      </c>
      <c r="M82" s="12" t="s">
        <v>588</v>
      </c>
      <c r="N82" s="39" t="s">
        <v>589</v>
      </c>
    </row>
    <row r="83" spans="1:14" x14ac:dyDescent="0.35">
      <c r="A83" s="6">
        <f t="shared" si="1"/>
        <v>82</v>
      </c>
      <c r="B83" s="6" t="s">
        <v>336</v>
      </c>
      <c r="C83" s="6" t="s">
        <v>569</v>
      </c>
      <c r="D83" s="6">
        <v>80</v>
      </c>
      <c r="E83" s="13" t="s">
        <v>575</v>
      </c>
      <c r="F83" s="6" t="s">
        <v>231</v>
      </c>
      <c r="G83" s="6" t="s">
        <v>119</v>
      </c>
      <c r="H83" s="8" t="s">
        <v>552</v>
      </c>
      <c r="J83" s="6" t="s">
        <v>145</v>
      </c>
      <c r="K83" s="6">
        <v>0</v>
      </c>
      <c r="L83" s="12" t="s">
        <v>397</v>
      </c>
      <c r="M83" s="12" t="s">
        <v>590</v>
      </c>
      <c r="N83" s="39" t="s">
        <v>591</v>
      </c>
    </row>
    <row r="84" spans="1:14" x14ac:dyDescent="0.35">
      <c r="A84" s="6">
        <f t="shared" si="1"/>
        <v>83</v>
      </c>
      <c r="B84" s="6" t="s">
        <v>337</v>
      </c>
    </row>
    <row r="85" spans="1:14" x14ac:dyDescent="0.35">
      <c r="A85" s="6">
        <f t="shared" si="1"/>
        <v>84</v>
      </c>
      <c r="B85" s="6" t="s">
        <v>338</v>
      </c>
    </row>
    <row r="86" spans="1:14" x14ac:dyDescent="0.35">
      <c r="A86" s="6">
        <f t="shared" si="1"/>
        <v>85</v>
      </c>
      <c r="B86" s="6" t="s">
        <v>339</v>
      </c>
    </row>
    <row r="87" spans="1:14" x14ac:dyDescent="0.35">
      <c r="A87" s="6">
        <f t="shared" si="1"/>
        <v>86</v>
      </c>
      <c r="B87" s="6" t="s">
        <v>340</v>
      </c>
    </row>
    <row r="88" spans="1:14" x14ac:dyDescent="0.35">
      <c r="A88" s="6">
        <f t="shared" si="1"/>
        <v>87</v>
      </c>
      <c r="B88" s="6" t="s">
        <v>341</v>
      </c>
    </row>
    <row r="89" spans="1:14" x14ac:dyDescent="0.35">
      <c r="A89" s="6">
        <f t="shared" si="1"/>
        <v>88</v>
      </c>
      <c r="B89" s="6" t="s">
        <v>342</v>
      </c>
    </row>
    <row r="90" spans="1:14" x14ac:dyDescent="0.35">
      <c r="A90" s="6">
        <f t="shared" si="1"/>
        <v>89</v>
      </c>
      <c r="B90" s="6" t="s">
        <v>343</v>
      </c>
    </row>
    <row r="91" spans="1:14" x14ac:dyDescent="0.35">
      <c r="A91" s="6">
        <f t="shared" si="1"/>
        <v>90</v>
      </c>
      <c r="B91" s="6" t="s">
        <v>344</v>
      </c>
    </row>
    <row r="92" spans="1:14" x14ac:dyDescent="0.35">
      <c r="A92" s="6">
        <f t="shared" si="1"/>
        <v>91</v>
      </c>
      <c r="B92" s="6" t="s">
        <v>345</v>
      </c>
    </row>
    <row r="93" spans="1:14" x14ac:dyDescent="0.35">
      <c r="A93" s="6">
        <f t="shared" si="1"/>
        <v>92</v>
      </c>
      <c r="B93" s="6" t="s">
        <v>346</v>
      </c>
    </row>
    <row r="94" spans="1:14" x14ac:dyDescent="0.35">
      <c r="A94" s="6">
        <f t="shared" si="1"/>
        <v>93</v>
      </c>
      <c r="B94" s="6" t="s">
        <v>347</v>
      </c>
    </row>
    <row r="95" spans="1:14" x14ac:dyDescent="0.35">
      <c r="A95" s="6">
        <f t="shared" si="1"/>
        <v>94</v>
      </c>
      <c r="B95" s="6" t="s">
        <v>348</v>
      </c>
    </row>
    <row r="96" spans="1:14" x14ac:dyDescent="0.35">
      <c r="A96" s="6">
        <f t="shared" si="1"/>
        <v>95</v>
      </c>
      <c r="B96" s="6" t="s">
        <v>349</v>
      </c>
    </row>
    <row r="97" spans="1:2" x14ac:dyDescent="0.35">
      <c r="A97" s="6">
        <f t="shared" si="1"/>
        <v>96</v>
      </c>
      <c r="B97" s="6" t="s">
        <v>350</v>
      </c>
    </row>
    <row r="98" spans="1:2" x14ac:dyDescent="0.35">
      <c r="A98" s="6">
        <f t="shared" si="1"/>
        <v>97</v>
      </c>
      <c r="B98" s="6" t="s">
        <v>351</v>
      </c>
    </row>
    <row r="99" spans="1:2" x14ac:dyDescent="0.35">
      <c r="A99" s="6">
        <f t="shared" si="1"/>
        <v>98</v>
      </c>
      <c r="B99" s="6" t="s">
        <v>352</v>
      </c>
    </row>
    <row r="100" spans="1:2" x14ac:dyDescent="0.35">
      <c r="A100" s="6">
        <f t="shared" si="1"/>
        <v>99</v>
      </c>
      <c r="B100" s="6" t="s">
        <v>353</v>
      </c>
    </row>
    <row r="101" spans="1:2" x14ac:dyDescent="0.35">
      <c r="A101" s="6">
        <f t="shared" si="1"/>
        <v>100</v>
      </c>
      <c r="B101" s="6" t="s">
        <v>354</v>
      </c>
    </row>
    <row r="102" spans="1:2" x14ac:dyDescent="0.35">
      <c r="A102" s="6">
        <f t="shared" si="1"/>
        <v>101</v>
      </c>
      <c r="B102" s="6" t="s">
        <v>458</v>
      </c>
    </row>
    <row r="103" spans="1:2" x14ac:dyDescent="0.35">
      <c r="A103" s="6">
        <f t="shared" si="1"/>
        <v>102</v>
      </c>
      <c r="B103" s="6" t="s">
        <v>459</v>
      </c>
    </row>
    <row r="104" spans="1:2" x14ac:dyDescent="0.35">
      <c r="A104" s="6">
        <f t="shared" si="1"/>
        <v>103</v>
      </c>
      <c r="B104" s="6" t="s">
        <v>460</v>
      </c>
    </row>
    <row r="105" spans="1:2" x14ac:dyDescent="0.35">
      <c r="A105" s="6">
        <f t="shared" si="1"/>
        <v>104</v>
      </c>
      <c r="B105" s="6" t="s">
        <v>461</v>
      </c>
    </row>
    <row r="106" spans="1:2" x14ac:dyDescent="0.35">
      <c r="A106" s="6">
        <f t="shared" si="1"/>
        <v>105</v>
      </c>
      <c r="B106" s="6" t="s">
        <v>462</v>
      </c>
    </row>
    <row r="107" spans="1:2" x14ac:dyDescent="0.35">
      <c r="A107" s="6">
        <f t="shared" si="1"/>
        <v>106</v>
      </c>
      <c r="B107" s="6" t="s">
        <v>494</v>
      </c>
    </row>
    <row r="108" spans="1:2" x14ac:dyDescent="0.35">
      <c r="A108" s="6">
        <f t="shared" si="1"/>
        <v>107</v>
      </c>
      <c r="B108" s="6" t="s">
        <v>495</v>
      </c>
    </row>
    <row r="109" spans="1:2" x14ac:dyDescent="0.35">
      <c r="A109" s="6">
        <f t="shared" si="1"/>
        <v>108</v>
      </c>
      <c r="B109" s="6" t="s">
        <v>496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8"/>
  <sheetViews>
    <sheetView zoomScaleNormal="100" workbookViewId="0">
      <pane ySplit="1" topLeftCell="A10" activePane="bottomLeft" state="frozen"/>
      <selection pane="bottomLeft" activeCell="P51" sqref="P51"/>
    </sheetView>
  </sheetViews>
  <sheetFormatPr defaultColWidth="8.6328125" defaultRowHeight="14.5" x14ac:dyDescent="0.35"/>
  <cols>
    <col min="1" max="1" width="5" customWidth="1"/>
    <col min="2" max="2" width="12" customWidth="1"/>
    <col min="3" max="3" width="14" customWidth="1"/>
    <col min="4" max="6" width="10" customWidth="1"/>
    <col min="7" max="7" width="14" customWidth="1"/>
    <col min="8" max="9" width="10" customWidth="1"/>
    <col min="10" max="10" width="22" customWidth="1"/>
    <col min="11" max="11" width="40" customWidth="1"/>
    <col min="12" max="17" width="22" customWidth="1"/>
    <col min="18" max="18" width="30" customWidth="1"/>
  </cols>
  <sheetData>
    <row r="1" spans="1:18" ht="30" customHeight="1" x14ac:dyDescent="0.35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5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9</v>
      </c>
    </row>
    <row r="2" spans="1:18" x14ac:dyDescent="0.35">
      <c r="A2" s="2">
        <v>1</v>
      </c>
      <c r="B2" s="2" t="s">
        <v>116</v>
      </c>
      <c r="C2" s="3" t="s">
        <v>117</v>
      </c>
      <c r="D2" s="2">
        <v>1</v>
      </c>
      <c r="E2" s="2">
        <v>3</v>
      </c>
      <c r="F2" s="3" t="s">
        <v>118</v>
      </c>
      <c r="G2" s="3" t="s">
        <v>119</v>
      </c>
      <c r="H2" s="4">
        <v>14</v>
      </c>
      <c r="I2" s="4">
        <v>17</v>
      </c>
      <c r="J2" s="3" t="s">
        <v>120</v>
      </c>
      <c r="K2" s="3" t="s">
        <v>121</v>
      </c>
      <c r="L2" s="2">
        <v>900</v>
      </c>
      <c r="M2" s="2">
        <v>1100</v>
      </c>
      <c r="N2" s="2">
        <v>1000</v>
      </c>
      <c r="O2" s="2">
        <v>22</v>
      </c>
      <c r="P2" s="2">
        <v>35</v>
      </c>
      <c r="Q2" s="2">
        <v>130</v>
      </c>
      <c r="R2" s="3"/>
    </row>
    <row r="3" spans="1:18" ht="28" x14ac:dyDescent="0.35">
      <c r="A3" s="2">
        <v>2</v>
      </c>
      <c r="B3" s="2" t="s">
        <v>122</v>
      </c>
      <c r="C3" s="3" t="s">
        <v>117</v>
      </c>
      <c r="D3" s="2">
        <v>1</v>
      </c>
      <c r="E3" s="2">
        <v>3</v>
      </c>
      <c r="F3" s="3" t="s">
        <v>118</v>
      </c>
      <c r="G3" s="3" t="s">
        <v>119</v>
      </c>
      <c r="H3" s="4">
        <v>14</v>
      </c>
      <c r="I3" s="4">
        <v>17</v>
      </c>
      <c r="J3" s="3" t="s">
        <v>123</v>
      </c>
      <c r="K3" s="3" t="s">
        <v>124</v>
      </c>
      <c r="L3" s="2">
        <v>1000</v>
      </c>
      <c r="M3" s="2">
        <v>1200</v>
      </c>
      <c r="N3" s="2">
        <v>1100</v>
      </c>
      <c r="O3" s="2">
        <v>24</v>
      </c>
      <c r="P3" s="2">
        <v>38</v>
      </c>
      <c r="Q3" s="2">
        <v>145</v>
      </c>
      <c r="R3" s="3"/>
    </row>
    <row r="4" spans="1:18" x14ac:dyDescent="0.35">
      <c r="A4" s="2">
        <v>3</v>
      </c>
      <c r="B4" s="2" t="s">
        <v>125</v>
      </c>
      <c r="C4" s="3" t="s">
        <v>126</v>
      </c>
      <c r="D4" s="2">
        <v>4</v>
      </c>
      <c r="E4" s="2">
        <v>6</v>
      </c>
      <c r="F4" s="3" t="s">
        <v>118</v>
      </c>
      <c r="G4" s="3" t="s">
        <v>119</v>
      </c>
      <c r="H4" s="4">
        <v>14.5</v>
      </c>
      <c r="I4" s="4">
        <v>17.5</v>
      </c>
      <c r="J4" s="3" t="s">
        <v>120</v>
      </c>
      <c r="K4" s="3" t="s">
        <v>121</v>
      </c>
      <c r="L4" s="2">
        <v>1200</v>
      </c>
      <c r="M4" s="2">
        <v>1400</v>
      </c>
      <c r="N4" s="2">
        <v>1300</v>
      </c>
      <c r="O4" s="2">
        <v>28</v>
      </c>
      <c r="P4" s="2">
        <v>45</v>
      </c>
      <c r="Q4" s="2">
        <v>170</v>
      </c>
      <c r="R4" s="3"/>
    </row>
    <row r="5" spans="1:18" ht="28" x14ac:dyDescent="0.35">
      <c r="A5" s="2">
        <v>4</v>
      </c>
      <c r="B5" s="2" t="s">
        <v>127</v>
      </c>
      <c r="C5" s="3" t="s">
        <v>126</v>
      </c>
      <c r="D5" s="2">
        <v>4</v>
      </c>
      <c r="E5" s="2">
        <v>6</v>
      </c>
      <c r="F5" s="3" t="s">
        <v>118</v>
      </c>
      <c r="G5" s="3" t="s">
        <v>119</v>
      </c>
      <c r="H5" s="4">
        <v>14.5</v>
      </c>
      <c r="I5" s="4">
        <v>17.5</v>
      </c>
      <c r="J5" s="3" t="s">
        <v>123</v>
      </c>
      <c r="K5" s="3" t="s">
        <v>124</v>
      </c>
      <c r="L5" s="2">
        <v>1400</v>
      </c>
      <c r="M5" s="2">
        <v>1600</v>
      </c>
      <c r="N5" s="2">
        <v>1500</v>
      </c>
      <c r="O5" s="2">
        <v>30</v>
      </c>
      <c r="P5" s="2">
        <v>50</v>
      </c>
      <c r="Q5" s="2">
        <v>195</v>
      </c>
      <c r="R5" s="3"/>
    </row>
    <row r="6" spans="1:18" x14ac:dyDescent="0.35">
      <c r="A6" s="2">
        <v>5</v>
      </c>
      <c r="B6" s="2" t="s">
        <v>128</v>
      </c>
      <c r="C6" s="3" t="s">
        <v>129</v>
      </c>
      <c r="D6" s="2">
        <v>7</v>
      </c>
      <c r="E6" s="2">
        <v>9</v>
      </c>
      <c r="F6" s="3" t="s">
        <v>118</v>
      </c>
      <c r="G6" s="3" t="s">
        <v>119</v>
      </c>
      <c r="H6" s="4">
        <v>15</v>
      </c>
      <c r="I6" s="4">
        <v>19</v>
      </c>
      <c r="J6" s="3" t="s">
        <v>120</v>
      </c>
      <c r="K6" s="3" t="s">
        <v>121</v>
      </c>
      <c r="L6" s="2">
        <v>1500</v>
      </c>
      <c r="M6" s="2">
        <v>1700</v>
      </c>
      <c r="N6" s="2">
        <v>1600</v>
      </c>
      <c r="O6" s="2">
        <v>35</v>
      </c>
      <c r="P6" s="2">
        <v>52</v>
      </c>
      <c r="Q6" s="2">
        <v>210</v>
      </c>
      <c r="R6" s="3"/>
    </row>
    <row r="7" spans="1:18" ht="28" x14ac:dyDescent="0.35">
      <c r="A7" s="2">
        <v>6</v>
      </c>
      <c r="B7" s="2" t="s">
        <v>130</v>
      </c>
      <c r="C7" s="3" t="s">
        <v>129</v>
      </c>
      <c r="D7" s="2">
        <v>7</v>
      </c>
      <c r="E7" s="2">
        <v>9</v>
      </c>
      <c r="F7" s="3" t="s">
        <v>118</v>
      </c>
      <c r="G7" s="3" t="s">
        <v>119</v>
      </c>
      <c r="H7" s="4">
        <v>15</v>
      </c>
      <c r="I7" s="4">
        <v>19</v>
      </c>
      <c r="J7" s="3" t="s">
        <v>123</v>
      </c>
      <c r="K7" s="3" t="s">
        <v>124</v>
      </c>
      <c r="L7" s="2">
        <v>1700</v>
      </c>
      <c r="M7" s="2">
        <v>1900</v>
      </c>
      <c r="N7" s="2">
        <v>1800</v>
      </c>
      <c r="O7" s="2">
        <v>38</v>
      </c>
      <c r="P7" s="2">
        <v>58</v>
      </c>
      <c r="Q7" s="2">
        <v>235</v>
      </c>
      <c r="R7" s="3"/>
    </row>
    <row r="8" spans="1:18" x14ac:dyDescent="0.35">
      <c r="A8" s="2">
        <v>7</v>
      </c>
      <c r="B8" s="2" t="s">
        <v>131</v>
      </c>
      <c r="C8" s="3" t="s">
        <v>132</v>
      </c>
      <c r="D8" s="2">
        <v>10</v>
      </c>
      <c r="E8" s="2">
        <v>12</v>
      </c>
      <c r="F8" s="3" t="s">
        <v>133</v>
      </c>
      <c r="G8" s="3" t="s">
        <v>119</v>
      </c>
      <c r="H8" s="4">
        <v>15.5</v>
      </c>
      <c r="I8" s="4">
        <v>20</v>
      </c>
      <c r="J8" s="3" t="s">
        <v>120</v>
      </c>
      <c r="K8" s="3" t="s">
        <v>121</v>
      </c>
      <c r="L8" s="2">
        <v>1700</v>
      </c>
      <c r="M8" s="2">
        <v>1900</v>
      </c>
      <c r="N8" s="2">
        <v>1800</v>
      </c>
      <c r="O8" s="2">
        <v>40</v>
      </c>
      <c r="P8" s="2">
        <v>58</v>
      </c>
      <c r="Q8" s="2">
        <v>235</v>
      </c>
      <c r="R8" s="3"/>
    </row>
    <row r="9" spans="1:18" ht="28" x14ac:dyDescent="0.35">
      <c r="A9" s="2">
        <v>8</v>
      </c>
      <c r="B9" s="2" t="s">
        <v>134</v>
      </c>
      <c r="C9" s="3" t="s">
        <v>132</v>
      </c>
      <c r="D9" s="2">
        <v>10</v>
      </c>
      <c r="E9" s="2">
        <v>12</v>
      </c>
      <c r="F9" s="3" t="s">
        <v>133</v>
      </c>
      <c r="G9" s="3" t="s">
        <v>119</v>
      </c>
      <c r="H9" s="4">
        <v>15.5</v>
      </c>
      <c r="I9" s="4">
        <v>20</v>
      </c>
      <c r="J9" s="3" t="s">
        <v>123</v>
      </c>
      <c r="K9" s="3" t="s">
        <v>124</v>
      </c>
      <c r="L9" s="2">
        <v>1900</v>
      </c>
      <c r="M9" s="2">
        <v>2100</v>
      </c>
      <c r="N9" s="2">
        <v>2000</v>
      </c>
      <c r="O9" s="2">
        <v>45</v>
      </c>
      <c r="P9" s="2">
        <v>65</v>
      </c>
      <c r="Q9" s="2">
        <v>260</v>
      </c>
      <c r="R9" s="3"/>
    </row>
    <row r="10" spans="1:18" x14ac:dyDescent="0.35">
      <c r="A10" s="2">
        <v>9</v>
      </c>
      <c r="B10" s="2" t="s">
        <v>135</v>
      </c>
      <c r="C10" s="3" t="s">
        <v>132</v>
      </c>
      <c r="D10" s="2">
        <v>10</v>
      </c>
      <c r="E10" s="2">
        <v>12</v>
      </c>
      <c r="F10" s="3" t="s">
        <v>136</v>
      </c>
      <c r="G10" s="3" t="s">
        <v>119</v>
      </c>
      <c r="H10" s="4">
        <v>15.5</v>
      </c>
      <c r="I10" s="4">
        <v>20</v>
      </c>
      <c r="J10" s="3" t="s">
        <v>120</v>
      </c>
      <c r="K10" s="3" t="s">
        <v>121</v>
      </c>
      <c r="L10" s="2">
        <v>1600</v>
      </c>
      <c r="M10" s="2">
        <v>1800</v>
      </c>
      <c r="N10" s="2">
        <v>1700</v>
      </c>
      <c r="O10" s="2">
        <v>38</v>
      </c>
      <c r="P10" s="2">
        <v>55</v>
      </c>
      <c r="Q10" s="2">
        <v>220</v>
      </c>
      <c r="R10" s="3"/>
    </row>
    <row r="11" spans="1:18" ht="28" x14ac:dyDescent="0.35">
      <c r="A11" s="2">
        <v>10</v>
      </c>
      <c r="B11" s="2" t="s">
        <v>137</v>
      </c>
      <c r="C11" s="3" t="s">
        <v>132</v>
      </c>
      <c r="D11" s="2">
        <v>10</v>
      </c>
      <c r="E11" s="2">
        <v>12</v>
      </c>
      <c r="F11" s="3" t="s">
        <v>136</v>
      </c>
      <c r="G11" s="3" t="s">
        <v>119</v>
      </c>
      <c r="H11" s="4">
        <v>15.5</v>
      </c>
      <c r="I11" s="4">
        <v>20</v>
      </c>
      <c r="J11" s="3" t="s">
        <v>123</v>
      </c>
      <c r="K11" s="3" t="s">
        <v>124</v>
      </c>
      <c r="L11" s="2">
        <v>1800</v>
      </c>
      <c r="M11" s="2">
        <v>2000</v>
      </c>
      <c r="N11" s="2">
        <v>1900</v>
      </c>
      <c r="O11" s="2">
        <v>42</v>
      </c>
      <c r="P11" s="2">
        <v>60</v>
      </c>
      <c r="Q11" s="2">
        <v>245</v>
      </c>
      <c r="R11" s="3"/>
    </row>
    <row r="12" spans="1:18" ht="28" x14ac:dyDescent="0.35">
      <c r="A12" s="2">
        <v>11</v>
      </c>
      <c r="B12" s="2" t="s">
        <v>138</v>
      </c>
      <c r="C12" s="3" t="s">
        <v>139</v>
      </c>
      <c r="D12" s="2">
        <v>13</v>
      </c>
      <c r="E12" s="2">
        <v>15</v>
      </c>
      <c r="F12" s="3" t="s">
        <v>133</v>
      </c>
      <c r="G12" s="3" t="s">
        <v>140</v>
      </c>
      <c r="H12" s="4">
        <v>15.5</v>
      </c>
      <c r="I12" s="4">
        <v>18.5</v>
      </c>
      <c r="J12" s="3" t="s">
        <v>123</v>
      </c>
      <c r="K12" s="3" t="s">
        <v>124</v>
      </c>
      <c r="L12" s="2">
        <v>2300</v>
      </c>
      <c r="M12" s="2">
        <v>2600</v>
      </c>
      <c r="N12" s="2">
        <v>2500</v>
      </c>
      <c r="O12" s="2">
        <v>60</v>
      </c>
      <c r="P12" s="2">
        <v>80</v>
      </c>
      <c r="Q12" s="2">
        <v>330</v>
      </c>
      <c r="R12" s="3" t="s">
        <v>141</v>
      </c>
    </row>
    <row r="13" spans="1:18" x14ac:dyDescent="0.35">
      <c r="A13" s="2">
        <v>12</v>
      </c>
      <c r="B13" s="2" t="s">
        <v>142</v>
      </c>
      <c r="C13" s="3" t="s">
        <v>139</v>
      </c>
      <c r="D13" s="2">
        <v>13</v>
      </c>
      <c r="E13" s="2">
        <v>15</v>
      </c>
      <c r="F13" s="3" t="s">
        <v>133</v>
      </c>
      <c r="G13" s="3" t="s">
        <v>119</v>
      </c>
      <c r="H13" s="4">
        <v>18.5</v>
      </c>
      <c r="I13" s="4">
        <v>23</v>
      </c>
      <c r="J13" s="3" t="s">
        <v>120</v>
      </c>
      <c r="K13" s="3" t="s">
        <v>121</v>
      </c>
      <c r="L13" s="2">
        <v>1900</v>
      </c>
      <c r="M13" s="2">
        <v>2200</v>
      </c>
      <c r="N13" s="2">
        <v>2100</v>
      </c>
      <c r="O13" s="2">
        <v>52</v>
      </c>
      <c r="P13" s="2">
        <v>68</v>
      </c>
      <c r="Q13" s="2">
        <v>275</v>
      </c>
      <c r="R13" s="3"/>
    </row>
    <row r="14" spans="1:18" ht="28" x14ac:dyDescent="0.35">
      <c r="A14" s="2">
        <v>13</v>
      </c>
      <c r="B14" s="2" t="s">
        <v>143</v>
      </c>
      <c r="C14" s="3" t="s">
        <v>139</v>
      </c>
      <c r="D14" s="2">
        <v>13</v>
      </c>
      <c r="E14" s="2">
        <v>15</v>
      </c>
      <c r="F14" s="3" t="s">
        <v>133</v>
      </c>
      <c r="G14" s="3" t="s">
        <v>119</v>
      </c>
      <c r="H14" s="4">
        <v>18.5</v>
      </c>
      <c r="I14" s="4">
        <v>23</v>
      </c>
      <c r="J14" s="3" t="s">
        <v>123</v>
      </c>
      <c r="K14" s="3" t="s">
        <v>124</v>
      </c>
      <c r="L14" s="2">
        <v>2200</v>
      </c>
      <c r="M14" s="2">
        <v>2500</v>
      </c>
      <c r="N14" s="2">
        <v>2400</v>
      </c>
      <c r="O14" s="2">
        <v>58</v>
      </c>
      <c r="P14" s="2">
        <v>78</v>
      </c>
      <c r="Q14" s="2">
        <v>315</v>
      </c>
      <c r="R14" s="3"/>
    </row>
    <row r="15" spans="1:18" ht="28" x14ac:dyDescent="0.35">
      <c r="A15" s="2">
        <v>14</v>
      </c>
      <c r="B15" s="2" t="s">
        <v>144</v>
      </c>
      <c r="C15" s="3" t="s">
        <v>139</v>
      </c>
      <c r="D15" s="2">
        <v>13</v>
      </c>
      <c r="E15" s="2">
        <v>15</v>
      </c>
      <c r="F15" s="3" t="s">
        <v>133</v>
      </c>
      <c r="G15" s="3" t="s">
        <v>119</v>
      </c>
      <c r="H15" s="4">
        <v>18.5</v>
      </c>
      <c r="I15" s="4">
        <v>23</v>
      </c>
      <c r="J15" s="3" t="s">
        <v>145</v>
      </c>
      <c r="K15" s="3" t="s">
        <v>146</v>
      </c>
      <c r="L15" s="2">
        <v>2600</v>
      </c>
      <c r="M15" s="2">
        <v>3000</v>
      </c>
      <c r="N15" s="2">
        <v>2800</v>
      </c>
      <c r="O15" s="2">
        <v>68</v>
      </c>
      <c r="P15" s="2">
        <v>90</v>
      </c>
      <c r="Q15" s="2">
        <v>370</v>
      </c>
      <c r="R15" s="3"/>
    </row>
    <row r="16" spans="1:18" x14ac:dyDescent="0.35">
      <c r="A16" s="2">
        <v>15</v>
      </c>
      <c r="B16" s="2" t="s">
        <v>147</v>
      </c>
      <c r="C16" s="3" t="s">
        <v>139</v>
      </c>
      <c r="D16" s="2">
        <v>13</v>
      </c>
      <c r="E16" s="2">
        <v>15</v>
      </c>
      <c r="F16" s="3" t="s">
        <v>136</v>
      </c>
      <c r="G16" s="3" t="s">
        <v>119</v>
      </c>
      <c r="H16" s="4">
        <v>18.5</v>
      </c>
      <c r="I16" s="4">
        <v>23</v>
      </c>
      <c r="J16" s="3" t="s">
        <v>120</v>
      </c>
      <c r="K16" s="3" t="s">
        <v>121</v>
      </c>
      <c r="L16" s="2">
        <v>1700</v>
      </c>
      <c r="M16" s="2">
        <v>1900</v>
      </c>
      <c r="N16" s="2">
        <v>1800</v>
      </c>
      <c r="O16" s="2">
        <v>45</v>
      </c>
      <c r="P16" s="2">
        <v>58</v>
      </c>
      <c r="Q16" s="2">
        <v>235</v>
      </c>
      <c r="R16" s="3"/>
    </row>
    <row r="17" spans="1:18" ht="28" x14ac:dyDescent="0.35">
      <c r="A17" s="2">
        <v>16</v>
      </c>
      <c r="B17" s="2" t="s">
        <v>148</v>
      </c>
      <c r="C17" s="3" t="s">
        <v>139</v>
      </c>
      <c r="D17" s="2">
        <v>13</v>
      </c>
      <c r="E17" s="2">
        <v>15</v>
      </c>
      <c r="F17" s="3" t="s">
        <v>136</v>
      </c>
      <c r="G17" s="3" t="s">
        <v>119</v>
      </c>
      <c r="H17" s="4">
        <v>18.5</v>
      </c>
      <c r="I17" s="4">
        <v>23</v>
      </c>
      <c r="J17" s="3" t="s">
        <v>123</v>
      </c>
      <c r="K17" s="3" t="s">
        <v>124</v>
      </c>
      <c r="L17" s="2">
        <v>1900</v>
      </c>
      <c r="M17" s="2">
        <v>2200</v>
      </c>
      <c r="N17" s="2">
        <v>2100</v>
      </c>
      <c r="O17" s="2">
        <v>50</v>
      </c>
      <c r="P17" s="2">
        <v>68</v>
      </c>
      <c r="Q17" s="2">
        <v>275</v>
      </c>
      <c r="R17" s="3"/>
    </row>
    <row r="18" spans="1:18" ht="28" x14ac:dyDescent="0.35">
      <c r="A18" s="2">
        <v>17</v>
      </c>
      <c r="B18" s="2" t="s">
        <v>149</v>
      </c>
      <c r="C18" s="3" t="s">
        <v>139</v>
      </c>
      <c r="D18" s="2">
        <v>13</v>
      </c>
      <c r="E18" s="2">
        <v>15</v>
      </c>
      <c r="F18" s="3" t="s">
        <v>136</v>
      </c>
      <c r="G18" s="3" t="s">
        <v>119</v>
      </c>
      <c r="H18" s="4">
        <v>18.5</v>
      </c>
      <c r="I18" s="4">
        <v>23</v>
      </c>
      <c r="J18" s="3" t="s">
        <v>145</v>
      </c>
      <c r="K18" s="3" t="s">
        <v>146</v>
      </c>
      <c r="L18" s="2">
        <v>2300</v>
      </c>
      <c r="M18" s="2">
        <v>2600</v>
      </c>
      <c r="N18" s="2">
        <v>2400</v>
      </c>
      <c r="O18" s="2">
        <v>58</v>
      </c>
      <c r="P18" s="2">
        <v>78</v>
      </c>
      <c r="Q18" s="2">
        <v>315</v>
      </c>
      <c r="R18" s="3"/>
    </row>
    <row r="19" spans="1:18" ht="28" x14ac:dyDescent="0.35">
      <c r="A19" s="2">
        <v>18</v>
      </c>
      <c r="B19" s="2" t="s">
        <v>150</v>
      </c>
      <c r="C19" s="3" t="s">
        <v>151</v>
      </c>
      <c r="D19" s="2">
        <v>16</v>
      </c>
      <c r="E19" s="2">
        <v>18</v>
      </c>
      <c r="F19" s="3" t="s">
        <v>133</v>
      </c>
      <c r="G19" s="3" t="s">
        <v>140</v>
      </c>
      <c r="H19" s="4">
        <v>15.5</v>
      </c>
      <c r="I19" s="4">
        <v>18.5</v>
      </c>
      <c r="J19" s="3" t="s">
        <v>123</v>
      </c>
      <c r="K19" s="3" t="s">
        <v>124</v>
      </c>
      <c r="L19" s="2">
        <v>2600</v>
      </c>
      <c r="M19" s="2">
        <v>3000</v>
      </c>
      <c r="N19" s="2">
        <v>2800</v>
      </c>
      <c r="O19" s="2">
        <v>72</v>
      </c>
      <c r="P19" s="2">
        <v>92</v>
      </c>
      <c r="Q19" s="2">
        <v>370</v>
      </c>
      <c r="R19" s="3" t="s">
        <v>141</v>
      </c>
    </row>
    <row r="20" spans="1:18" x14ac:dyDescent="0.35">
      <c r="A20" s="2">
        <v>19</v>
      </c>
      <c r="B20" s="2" t="s">
        <v>152</v>
      </c>
      <c r="C20" s="3" t="s">
        <v>151</v>
      </c>
      <c r="D20" s="2">
        <v>16</v>
      </c>
      <c r="E20" s="2">
        <v>18</v>
      </c>
      <c r="F20" s="3" t="s">
        <v>133</v>
      </c>
      <c r="G20" s="3" t="s">
        <v>119</v>
      </c>
      <c r="H20" s="4">
        <v>18.5</v>
      </c>
      <c r="I20" s="4">
        <v>23</v>
      </c>
      <c r="J20" s="3" t="s">
        <v>120</v>
      </c>
      <c r="K20" s="3" t="s">
        <v>121</v>
      </c>
      <c r="L20" s="2">
        <v>2100</v>
      </c>
      <c r="M20" s="2">
        <v>2400</v>
      </c>
      <c r="N20" s="2">
        <v>2200</v>
      </c>
      <c r="O20" s="2">
        <v>56</v>
      </c>
      <c r="P20" s="2">
        <v>72</v>
      </c>
      <c r="Q20" s="2">
        <v>290</v>
      </c>
      <c r="R20" s="3"/>
    </row>
    <row r="21" spans="1:18" ht="28" x14ac:dyDescent="0.35">
      <c r="A21" s="2">
        <v>20</v>
      </c>
      <c r="B21" s="2" t="s">
        <v>153</v>
      </c>
      <c r="C21" s="3" t="s">
        <v>151</v>
      </c>
      <c r="D21" s="2">
        <v>16</v>
      </c>
      <c r="E21" s="2">
        <v>18</v>
      </c>
      <c r="F21" s="3" t="s">
        <v>133</v>
      </c>
      <c r="G21" s="3" t="s">
        <v>119</v>
      </c>
      <c r="H21" s="4">
        <v>18.5</v>
      </c>
      <c r="I21" s="4">
        <v>23</v>
      </c>
      <c r="J21" s="3" t="s">
        <v>123</v>
      </c>
      <c r="K21" s="3" t="s">
        <v>124</v>
      </c>
      <c r="L21" s="2">
        <v>2400</v>
      </c>
      <c r="M21" s="2">
        <v>2700</v>
      </c>
      <c r="N21" s="2">
        <v>2600</v>
      </c>
      <c r="O21" s="2">
        <v>65</v>
      </c>
      <c r="P21" s="2">
        <v>85</v>
      </c>
      <c r="Q21" s="2">
        <v>340</v>
      </c>
      <c r="R21" s="3"/>
    </row>
    <row r="22" spans="1:18" ht="28" x14ac:dyDescent="0.35">
      <c r="A22" s="2">
        <v>21</v>
      </c>
      <c r="B22" s="2" t="s">
        <v>154</v>
      </c>
      <c r="C22" s="3" t="s">
        <v>151</v>
      </c>
      <c r="D22" s="2">
        <v>16</v>
      </c>
      <c r="E22" s="2">
        <v>18</v>
      </c>
      <c r="F22" s="3" t="s">
        <v>133</v>
      </c>
      <c r="G22" s="3" t="s">
        <v>119</v>
      </c>
      <c r="H22" s="4">
        <v>18.5</v>
      </c>
      <c r="I22" s="4">
        <v>23</v>
      </c>
      <c r="J22" s="3" t="s">
        <v>145</v>
      </c>
      <c r="K22" s="3" t="s">
        <v>146</v>
      </c>
      <c r="L22" s="2">
        <v>2800</v>
      </c>
      <c r="M22" s="2">
        <v>3200</v>
      </c>
      <c r="N22" s="2">
        <v>3000</v>
      </c>
      <c r="O22" s="2">
        <v>78</v>
      </c>
      <c r="P22" s="2">
        <v>98</v>
      </c>
      <c r="Q22" s="2">
        <v>395</v>
      </c>
      <c r="R22" s="3"/>
    </row>
    <row r="23" spans="1:18" ht="28" x14ac:dyDescent="0.35">
      <c r="A23" s="2">
        <v>22</v>
      </c>
      <c r="B23" s="2" t="s">
        <v>155</v>
      </c>
      <c r="C23" s="3" t="s">
        <v>151</v>
      </c>
      <c r="D23" s="2">
        <v>16</v>
      </c>
      <c r="E23" s="2">
        <v>18</v>
      </c>
      <c r="F23" s="3" t="s">
        <v>136</v>
      </c>
      <c r="G23" s="3" t="s">
        <v>140</v>
      </c>
      <c r="H23" s="4">
        <v>15.5</v>
      </c>
      <c r="I23" s="4">
        <v>18.5</v>
      </c>
      <c r="J23" s="3" t="s">
        <v>123</v>
      </c>
      <c r="K23" s="3" t="s">
        <v>124</v>
      </c>
      <c r="L23" s="2">
        <v>2100</v>
      </c>
      <c r="M23" s="2">
        <v>2400</v>
      </c>
      <c r="N23" s="2">
        <v>2200</v>
      </c>
      <c r="O23" s="2">
        <v>55</v>
      </c>
      <c r="P23" s="2">
        <v>72</v>
      </c>
      <c r="Q23" s="2">
        <v>290</v>
      </c>
      <c r="R23" s="3"/>
    </row>
    <row r="24" spans="1:18" x14ac:dyDescent="0.35">
      <c r="A24" s="2">
        <v>23</v>
      </c>
      <c r="B24" s="2" t="s">
        <v>156</v>
      </c>
      <c r="C24" s="3" t="s">
        <v>151</v>
      </c>
      <c r="D24" s="2">
        <v>16</v>
      </c>
      <c r="E24" s="2">
        <v>18</v>
      </c>
      <c r="F24" s="3" t="s">
        <v>136</v>
      </c>
      <c r="G24" s="3" t="s">
        <v>119</v>
      </c>
      <c r="H24" s="4">
        <v>18.5</v>
      </c>
      <c r="I24" s="4">
        <v>23</v>
      </c>
      <c r="J24" s="3" t="s">
        <v>120</v>
      </c>
      <c r="K24" s="3" t="s">
        <v>121</v>
      </c>
      <c r="L24" s="2">
        <v>1800</v>
      </c>
      <c r="M24" s="2">
        <v>2100</v>
      </c>
      <c r="N24" s="2">
        <v>2000</v>
      </c>
      <c r="O24" s="2">
        <v>50</v>
      </c>
      <c r="P24" s="2">
        <v>65</v>
      </c>
      <c r="Q24" s="2">
        <v>260</v>
      </c>
      <c r="R24" s="3"/>
    </row>
    <row r="25" spans="1:18" ht="28" x14ac:dyDescent="0.35">
      <c r="A25" s="2">
        <v>24</v>
      </c>
      <c r="B25" s="2" t="s">
        <v>157</v>
      </c>
      <c r="C25" s="3" t="s">
        <v>151</v>
      </c>
      <c r="D25" s="2">
        <v>16</v>
      </c>
      <c r="E25" s="2">
        <v>18</v>
      </c>
      <c r="F25" s="3" t="s">
        <v>136</v>
      </c>
      <c r="G25" s="3" t="s">
        <v>119</v>
      </c>
      <c r="H25" s="4">
        <v>18.5</v>
      </c>
      <c r="I25" s="4">
        <v>23</v>
      </c>
      <c r="J25" s="3" t="s">
        <v>123</v>
      </c>
      <c r="K25" s="3" t="s">
        <v>124</v>
      </c>
      <c r="L25" s="2">
        <v>2100</v>
      </c>
      <c r="M25" s="2">
        <v>2400</v>
      </c>
      <c r="N25" s="2">
        <v>2200</v>
      </c>
      <c r="O25" s="2">
        <v>55</v>
      </c>
      <c r="P25" s="2">
        <v>72</v>
      </c>
      <c r="Q25" s="2">
        <v>290</v>
      </c>
      <c r="R25" s="3"/>
    </row>
    <row r="26" spans="1:18" ht="28" x14ac:dyDescent="0.35">
      <c r="A26" s="2">
        <v>25</v>
      </c>
      <c r="B26" s="2" t="s">
        <v>158</v>
      </c>
      <c r="C26" s="3" t="s">
        <v>151</v>
      </c>
      <c r="D26" s="2">
        <v>16</v>
      </c>
      <c r="E26" s="2">
        <v>18</v>
      </c>
      <c r="F26" s="3" t="s">
        <v>136</v>
      </c>
      <c r="G26" s="3" t="s">
        <v>119</v>
      </c>
      <c r="H26" s="4">
        <v>18.5</v>
      </c>
      <c r="I26" s="4">
        <v>23</v>
      </c>
      <c r="J26" s="3" t="s">
        <v>145</v>
      </c>
      <c r="K26" s="3" t="s">
        <v>146</v>
      </c>
      <c r="L26" s="2">
        <v>2400</v>
      </c>
      <c r="M26" s="2">
        <v>2700</v>
      </c>
      <c r="N26" s="2">
        <v>2500</v>
      </c>
      <c r="O26" s="2">
        <v>62</v>
      </c>
      <c r="P26" s="2">
        <v>82</v>
      </c>
      <c r="Q26" s="2">
        <v>330</v>
      </c>
      <c r="R26" s="3"/>
    </row>
    <row r="27" spans="1:18" x14ac:dyDescent="0.35">
      <c r="A27" s="2">
        <v>26</v>
      </c>
      <c r="B27" s="2" t="s">
        <v>159</v>
      </c>
      <c r="C27" s="3" t="s">
        <v>160</v>
      </c>
      <c r="D27" s="2">
        <v>19</v>
      </c>
      <c r="E27" s="2">
        <v>30</v>
      </c>
      <c r="F27" s="3" t="s">
        <v>133</v>
      </c>
      <c r="G27" s="3" t="s">
        <v>140</v>
      </c>
      <c r="H27" s="4">
        <v>15.5</v>
      </c>
      <c r="I27" s="4">
        <v>18.399999999999999</v>
      </c>
      <c r="J27" s="3" t="s">
        <v>120</v>
      </c>
      <c r="K27" s="3" t="s">
        <v>121</v>
      </c>
      <c r="L27" s="2">
        <v>2200</v>
      </c>
      <c r="M27" s="2">
        <v>2600</v>
      </c>
      <c r="N27" s="2">
        <v>2400</v>
      </c>
      <c r="O27" s="2">
        <v>65</v>
      </c>
      <c r="P27" s="2">
        <v>80</v>
      </c>
      <c r="Q27" s="2">
        <v>315</v>
      </c>
      <c r="R27" s="3"/>
    </row>
    <row r="28" spans="1:18" ht="28" x14ac:dyDescent="0.35">
      <c r="A28" s="2">
        <v>27</v>
      </c>
      <c r="B28" s="2" t="s">
        <v>161</v>
      </c>
      <c r="C28" s="3" t="s">
        <v>160</v>
      </c>
      <c r="D28" s="2">
        <v>19</v>
      </c>
      <c r="E28" s="2">
        <v>30</v>
      </c>
      <c r="F28" s="3" t="s">
        <v>133</v>
      </c>
      <c r="G28" s="3" t="s">
        <v>140</v>
      </c>
      <c r="H28" s="4">
        <v>15.5</v>
      </c>
      <c r="I28" s="4">
        <v>18.399999999999999</v>
      </c>
      <c r="J28" s="3" t="s">
        <v>123</v>
      </c>
      <c r="K28" s="3" t="s">
        <v>124</v>
      </c>
      <c r="L28" s="2">
        <v>2600</v>
      </c>
      <c r="M28" s="2">
        <v>3000</v>
      </c>
      <c r="N28" s="2">
        <v>2800</v>
      </c>
      <c r="O28" s="2">
        <v>75</v>
      </c>
      <c r="P28" s="2">
        <v>92</v>
      </c>
      <c r="Q28" s="2">
        <v>370</v>
      </c>
      <c r="R28" s="3"/>
    </row>
    <row r="29" spans="1:18" ht="28" x14ac:dyDescent="0.35">
      <c r="A29" s="2">
        <v>28</v>
      </c>
      <c r="B29" s="2" t="s">
        <v>162</v>
      </c>
      <c r="C29" s="3" t="s">
        <v>160</v>
      </c>
      <c r="D29" s="2">
        <v>19</v>
      </c>
      <c r="E29" s="2">
        <v>30</v>
      </c>
      <c r="F29" s="3" t="s">
        <v>133</v>
      </c>
      <c r="G29" s="3" t="s">
        <v>140</v>
      </c>
      <c r="H29" s="4">
        <v>15.5</v>
      </c>
      <c r="I29" s="4">
        <v>18.399999999999999</v>
      </c>
      <c r="J29" s="3" t="s">
        <v>145</v>
      </c>
      <c r="K29" s="3" t="s">
        <v>146</v>
      </c>
      <c r="L29" s="2">
        <v>3000</v>
      </c>
      <c r="M29" s="2">
        <v>3500</v>
      </c>
      <c r="N29" s="2">
        <v>3200</v>
      </c>
      <c r="O29" s="2">
        <v>88</v>
      </c>
      <c r="P29" s="2">
        <v>105</v>
      </c>
      <c r="Q29" s="2">
        <v>425</v>
      </c>
      <c r="R29" s="3"/>
    </row>
    <row r="30" spans="1:18" x14ac:dyDescent="0.35">
      <c r="A30" s="2">
        <v>29</v>
      </c>
      <c r="B30" s="2" t="s">
        <v>163</v>
      </c>
      <c r="C30" s="3" t="s">
        <v>160</v>
      </c>
      <c r="D30" s="2">
        <v>19</v>
      </c>
      <c r="E30" s="2">
        <v>30</v>
      </c>
      <c r="F30" s="3" t="s">
        <v>133</v>
      </c>
      <c r="G30" s="3" t="s">
        <v>119</v>
      </c>
      <c r="H30" s="4">
        <v>18.5</v>
      </c>
      <c r="I30" s="4">
        <v>22.9</v>
      </c>
      <c r="J30" s="3" t="s">
        <v>120</v>
      </c>
      <c r="K30" s="3" t="s">
        <v>121</v>
      </c>
      <c r="L30" s="2">
        <v>2000</v>
      </c>
      <c r="M30" s="2">
        <v>2300</v>
      </c>
      <c r="N30" s="2">
        <v>2200</v>
      </c>
      <c r="O30" s="2">
        <v>60</v>
      </c>
      <c r="P30" s="2">
        <v>72</v>
      </c>
      <c r="Q30" s="2">
        <v>290</v>
      </c>
      <c r="R30" s="3"/>
    </row>
    <row r="31" spans="1:18" ht="28" x14ac:dyDescent="0.35">
      <c r="A31" s="2">
        <v>30</v>
      </c>
      <c r="B31" s="2" t="s">
        <v>164</v>
      </c>
      <c r="C31" s="3" t="s">
        <v>160</v>
      </c>
      <c r="D31" s="2">
        <v>19</v>
      </c>
      <c r="E31" s="2">
        <v>30</v>
      </c>
      <c r="F31" s="3" t="s">
        <v>133</v>
      </c>
      <c r="G31" s="3" t="s">
        <v>119</v>
      </c>
      <c r="H31" s="4">
        <v>18.5</v>
      </c>
      <c r="I31" s="4">
        <v>22.9</v>
      </c>
      <c r="J31" s="3" t="s">
        <v>123</v>
      </c>
      <c r="K31" s="3" t="s">
        <v>124</v>
      </c>
      <c r="L31" s="2">
        <v>2400</v>
      </c>
      <c r="M31" s="2">
        <v>2700</v>
      </c>
      <c r="N31" s="2">
        <v>2500</v>
      </c>
      <c r="O31" s="2">
        <v>68</v>
      </c>
      <c r="P31" s="2">
        <v>82</v>
      </c>
      <c r="Q31" s="2">
        <v>330</v>
      </c>
      <c r="R31" s="3"/>
    </row>
    <row r="32" spans="1:18" ht="28" x14ac:dyDescent="0.35">
      <c r="A32" s="2">
        <v>31</v>
      </c>
      <c r="B32" s="2" t="s">
        <v>165</v>
      </c>
      <c r="C32" s="3" t="s">
        <v>160</v>
      </c>
      <c r="D32" s="2">
        <v>19</v>
      </c>
      <c r="E32" s="2">
        <v>30</v>
      </c>
      <c r="F32" s="3" t="s">
        <v>133</v>
      </c>
      <c r="G32" s="3" t="s">
        <v>119</v>
      </c>
      <c r="H32" s="4">
        <v>18.5</v>
      </c>
      <c r="I32" s="4">
        <v>22.9</v>
      </c>
      <c r="J32" s="3" t="s">
        <v>145</v>
      </c>
      <c r="K32" s="3" t="s">
        <v>146</v>
      </c>
      <c r="L32" s="2">
        <v>2800</v>
      </c>
      <c r="M32" s="2">
        <v>3200</v>
      </c>
      <c r="N32" s="2">
        <v>3000</v>
      </c>
      <c r="O32" s="2">
        <v>82</v>
      </c>
      <c r="P32" s="2">
        <v>98</v>
      </c>
      <c r="Q32" s="2">
        <v>395</v>
      </c>
      <c r="R32" s="3"/>
    </row>
    <row r="33" spans="1:18" x14ac:dyDescent="0.35">
      <c r="A33" s="2">
        <v>32</v>
      </c>
      <c r="B33" s="2" t="s">
        <v>166</v>
      </c>
      <c r="C33" s="3" t="s">
        <v>160</v>
      </c>
      <c r="D33" s="2">
        <v>19</v>
      </c>
      <c r="E33" s="2">
        <v>30</v>
      </c>
      <c r="F33" s="3" t="s">
        <v>133</v>
      </c>
      <c r="G33" s="3" t="s">
        <v>167</v>
      </c>
      <c r="H33" s="4">
        <v>23</v>
      </c>
      <c r="I33" s="4">
        <v>24.9</v>
      </c>
      <c r="J33" s="3" t="s">
        <v>120</v>
      </c>
      <c r="K33" s="3" t="s">
        <v>121</v>
      </c>
      <c r="L33" s="2">
        <v>1800</v>
      </c>
      <c r="M33" s="2">
        <v>2100</v>
      </c>
      <c r="N33" s="2">
        <v>1900</v>
      </c>
      <c r="O33" s="2">
        <v>55</v>
      </c>
      <c r="P33" s="2">
        <v>62</v>
      </c>
      <c r="Q33" s="2">
        <v>250</v>
      </c>
      <c r="R33" s="3" t="s">
        <v>168</v>
      </c>
    </row>
    <row r="34" spans="1:18" x14ac:dyDescent="0.35">
      <c r="A34" s="2">
        <v>33</v>
      </c>
      <c r="B34" s="2" t="s">
        <v>169</v>
      </c>
      <c r="C34" s="3" t="s">
        <v>160</v>
      </c>
      <c r="D34" s="2">
        <v>19</v>
      </c>
      <c r="E34" s="2">
        <v>30</v>
      </c>
      <c r="F34" s="3" t="s">
        <v>133</v>
      </c>
      <c r="G34" s="3" t="s">
        <v>170</v>
      </c>
      <c r="H34" s="4">
        <v>25</v>
      </c>
      <c r="I34" s="4">
        <v>35</v>
      </c>
      <c r="J34" s="3" t="s">
        <v>120</v>
      </c>
      <c r="K34" s="3" t="s">
        <v>121</v>
      </c>
      <c r="L34" s="2">
        <v>1500</v>
      </c>
      <c r="M34" s="2">
        <v>1800</v>
      </c>
      <c r="N34" s="2">
        <v>1600</v>
      </c>
      <c r="O34" s="2">
        <v>55</v>
      </c>
      <c r="P34" s="2">
        <v>52</v>
      </c>
      <c r="Q34" s="2">
        <v>210</v>
      </c>
      <c r="R34" s="3" t="s">
        <v>171</v>
      </c>
    </row>
    <row r="35" spans="1:18" x14ac:dyDescent="0.35">
      <c r="A35" s="2">
        <v>34</v>
      </c>
      <c r="B35" s="2" t="s">
        <v>172</v>
      </c>
      <c r="C35" s="3" t="s">
        <v>160</v>
      </c>
      <c r="D35" s="2">
        <v>19</v>
      </c>
      <c r="E35" s="2">
        <v>30</v>
      </c>
      <c r="F35" s="3" t="s">
        <v>136</v>
      </c>
      <c r="G35" s="3" t="s">
        <v>140</v>
      </c>
      <c r="H35" s="4">
        <v>15.5</v>
      </c>
      <c r="I35" s="4">
        <v>18.399999999999999</v>
      </c>
      <c r="J35" s="3" t="s">
        <v>120</v>
      </c>
      <c r="K35" s="3" t="s">
        <v>121</v>
      </c>
      <c r="L35" s="2">
        <v>1800</v>
      </c>
      <c r="M35" s="2">
        <v>2100</v>
      </c>
      <c r="N35" s="2">
        <v>2000</v>
      </c>
      <c r="O35" s="2">
        <v>52</v>
      </c>
      <c r="P35" s="2">
        <v>65</v>
      </c>
      <c r="Q35" s="2">
        <v>260</v>
      </c>
      <c r="R35" s="3"/>
    </row>
    <row r="36" spans="1:18" ht="28" x14ac:dyDescent="0.35">
      <c r="A36" s="2">
        <v>35</v>
      </c>
      <c r="B36" s="2" t="s">
        <v>173</v>
      </c>
      <c r="C36" s="3" t="s">
        <v>160</v>
      </c>
      <c r="D36" s="2">
        <v>19</v>
      </c>
      <c r="E36" s="2">
        <v>30</v>
      </c>
      <c r="F36" s="3" t="s">
        <v>136</v>
      </c>
      <c r="G36" s="3" t="s">
        <v>140</v>
      </c>
      <c r="H36" s="4">
        <v>15.5</v>
      </c>
      <c r="I36" s="4">
        <v>18.399999999999999</v>
      </c>
      <c r="J36" s="3" t="s">
        <v>123</v>
      </c>
      <c r="K36" s="3" t="s">
        <v>124</v>
      </c>
      <c r="L36" s="2">
        <v>2100</v>
      </c>
      <c r="M36" s="2">
        <v>2500</v>
      </c>
      <c r="N36" s="2">
        <v>2300</v>
      </c>
      <c r="O36" s="2">
        <v>62</v>
      </c>
      <c r="P36" s="2">
        <v>75</v>
      </c>
      <c r="Q36" s="2">
        <v>305</v>
      </c>
      <c r="R36" s="3"/>
    </row>
    <row r="37" spans="1:18" ht="28" x14ac:dyDescent="0.35">
      <c r="A37" s="2">
        <v>36</v>
      </c>
      <c r="B37" s="2" t="s">
        <v>174</v>
      </c>
      <c r="C37" s="3" t="s">
        <v>160</v>
      </c>
      <c r="D37" s="2">
        <v>19</v>
      </c>
      <c r="E37" s="2">
        <v>30</v>
      </c>
      <c r="F37" s="3" t="s">
        <v>136</v>
      </c>
      <c r="G37" s="3" t="s">
        <v>140</v>
      </c>
      <c r="H37" s="4">
        <v>15.5</v>
      </c>
      <c r="I37" s="4">
        <v>18.399999999999999</v>
      </c>
      <c r="J37" s="3" t="s">
        <v>145</v>
      </c>
      <c r="K37" s="3" t="s">
        <v>146</v>
      </c>
      <c r="L37" s="2">
        <v>2500</v>
      </c>
      <c r="M37" s="2">
        <v>2900</v>
      </c>
      <c r="N37" s="2">
        <v>2700</v>
      </c>
      <c r="O37" s="2">
        <v>72</v>
      </c>
      <c r="P37" s="2">
        <v>88</v>
      </c>
      <c r="Q37" s="2">
        <v>355</v>
      </c>
      <c r="R37" s="3"/>
    </row>
    <row r="38" spans="1:18" x14ac:dyDescent="0.35">
      <c r="A38" s="2">
        <v>37</v>
      </c>
      <c r="B38" s="2" t="s">
        <v>175</v>
      </c>
      <c r="C38" s="3" t="s">
        <v>160</v>
      </c>
      <c r="D38" s="2">
        <v>19</v>
      </c>
      <c r="E38" s="2">
        <v>30</v>
      </c>
      <c r="F38" s="3" t="s">
        <v>136</v>
      </c>
      <c r="G38" s="3" t="s">
        <v>119</v>
      </c>
      <c r="H38" s="4">
        <v>18.5</v>
      </c>
      <c r="I38" s="4">
        <v>22.9</v>
      </c>
      <c r="J38" s="3" t="s">
        <v>120</v>
      </c>
      <c r="K38" s="3" t="s">
        <v>121</v>
      </c>
      <c r="L38" s="2">
        <v>1600</v>
      </c>
      <c r="M38" s="2">
        <v>1900</v>
      </c>
      <c r="N38" s="2">
        <v>1800</v>
      </c>
      <c r="O38" s="2">
        <v>50</v>
      </c>
      <c r="P38" s="2">
        <v>58</v>
      </c>
      <c r="Q38" s="2">
        <v>235</v>
      </c>
      <c r="R38" s="3"/>
    </row>
    <row r="39" spans="1:18" ht="28" x14ac:dyDescent="0.35">
      <c r="A39" s="2">
        <v>38</v>
      </c>
      <c r="B39" s="2" t="s">
        <v>176</v>
      </c>
      <c r="C39" s="3" t="s">
        <v>160</v>
      </c>
      <c r="D39" s="2">
        <v>19</v>
      </c>
      <c r="E39" s="2">
        <v>30</v>
      </c>
      <c r="F39" s="3" t="s">
        <v>136</v>
      </c>
      <c r="G39" s="3" t="s">
        <v>119</v>
      </c>
      <c r="H39" s="4">
        <v>18.5</v>
      </c>
      <c r="I39" s="4">
        <v>22.9</v>
      </c>
      <c r="J39" s="3" t="s">
        <v>123</v>
      </c>
      <c r="K39" s="3" t="s">
        <v>124</v>
      </c>
      <c r="L39" s="2">
        <v>1900</v>
      </c>
      <c r="M39" s="2">
        <v>2200</v>
      </c>
      <c r="N39" s="2">
        <v>2000</v>
      </c>
      <c r="O39" s="2">
        <v>58</v>
      </c>
      <c r="P39" s="2">
        <v>65</v>
      </c>
      <c r="Q39" s="2">
        <v>265</v>
      </c>
      <c r="R39" s="3"/>
    </row>
    <row r="40" spans="1:18" ht="28" x14ac:dyDescent="0.35">
      <c r="A40" s="2">
        <v>39</v>
      </c>
      <c r="B40" s="2" t="s">
        <v>177</v>
      </c>
      <c r="C40" s="3" t="s">
        <v>160</v>
      </c>
      <c r="D40" s="2">
        <v>19</v>
      </c>
      <c r="E40" s="2">
        <v>30</v>
      </c>
      <c r="F40" s="3" t="s">
        <v>136</v>
      </c>
      <c r="G40" s="3" t="s">
        <v>119</v>
      </c>
      <c r="H40" s="4">
        <v>18.5</v>
      </c>
      <c r="I40" s="4">
        <v>22.9</v>
      </c>
      <c r="J40" s="3" t="s">
        <v>145</v>
      </c>
      <c r="K40" s="3" t="s">
        <v>146</v>
      </c>
      <c r="L40" s="2">
        <v>2300</v>
      </c>
      <c r="M40" s="2">
        <v>2600</v>
      </c>
      <c r="N40" s="2">
        <v>2400</v>
      </c>
      <c r="O40" s="2">
        <v>68</v>
      </c>
      <c r="P40" s="2">
        <v>78</v>
      </c>
      <c r="Q40" s="2">
        <v>315</v>
      </c>
      <c r="R40" s="3"/>
    </row>
    <row r="41" spans="1:18" x14ac:dyDescent="0.35">
      <c r="A41" s="2">
        <v>40</v>
      </c>
      <c r="B41" s="2" t="s">
        <v>178</v>
      </c>
      <c r="C41" s="3" t="s">
        <v>160</v>
      </c>
      <c r="D41" s="2">
        <v>19</v>
      </c>
      <c r="E41" s="2">
        <v>30</v>
      </c>
      <c r="F41" s="3" t="s">
        <v>136</v>
      </c>
      <c r="G41" s="3" t="s">
        <v>167</v>
      </c>
      <c r="H41" s="4">
        <v>23</v>
      </c>
      <c r="I41" s="4">
        <v>24.9</v>
      </c>
      <c r="J41" s="3" t="s">
        <v>120</v>
      </c>
      <c r="K41" s="3" t="s">
        <v>121</v>
      </c>
      <c r="L41" s="2">
        <v>1400</v>
      </c>
      <c r="M41" s="2">
        <v>1700</v>
      </c>
      <c r="N41" s="2">
        <v>1500</v>
      </c>
      <c r="O41" s="2">
        <v>48</v>
      </c>
      <c r="P41" s="2">
        <v>48</v>
      </c>
      <c r="Q41" s="2">
        <v>195</v>
      </c>
      <c r="R41" s="3" t="s">
        <v>168</v>
      </c>
    </row>
    <row r="42" spans="1:18" x14ac:dyDescent="0.35">
      <c r="A42" s="2">
        <v>41</v>
      </c>
      <c r="B42" s="2" t="s">
        <v>179</v>
      </c>
      <c r="C42" s="3" t="s">
        <v>160</v>
      </c>
      <c r="D42" s="2">
        <v>19</v>
      </c>
      <c r="E42" s="2">
        <v>30</v>
      </c>
      <c r="F42" s="3" t="s">
        <v>136</v>
      </c>
      <c r="G42" s="3" t="s">
        <v>170</v>
      </c>
      <c r="H42" s="4">
        <v>25</v>
      </c>
      <c r="I42" s="4">
        <v>35</v>
      </c>
      <c r="J42" s="3" t="s">
        <v>120</v>
      </c>
      <c r="K42" s="3" t="s">
        <v>121</v>
      </c>
      <c r="L42" s="2">
        <v>1200</v>
      </c>
      <c r="M42" s="2">
        <v>1500</v>
      </c>
      <c r="N42" s="2">
        <v>1300</v>
      </c>
      <c r="O42" s="2">
        <v>48</v>
      </c>
      <c r="P42" s="2">
        <v>42</v>
      </c>
      <c r="Q42" s="2">
        <v>170</v>
      </c>
      <c r="R42" s="3" t="s">
        <v>171</v>
      </c>
    </row>
    <row r="43" spans="1:18" x14ac:dyDescent="0.35">
      <c r="A43" s="2">
        <v>42</v>
      </c>
      <c r="B43" s="2" t="s">
        <v>180</v>
      </c>
      <c r="C43" s="3" t="s">
        <v>181</v>
      </c>
      <c r="D43" s="2">
        <v>31</v>
      </c>
      <c r="E43" s="2">
        <v>50</v>
      </c>
      <c r="F43" s="3" t="s">
        <v>133</v>
      </c>
      <c r="G43" s="3" t="s">
        <v>119</v>
      </c>
      <c r="H43" s="4">
        <v>18.5</v>
      </c>
      <c r="I43" s="4">
        <v>22.9</v>
      </c>
      <c r="J43" s="3" t="s">
        <v>120</v>
      </c>
      <c r="K43" s="3" t="s">
        <v>121</v>
      </c>
      <c r="L43" s="2">
        <v>2000</v>
      </c>
      <c r="M43" s="2">
        <v>2300</v>
      </c>
      <c r="N43" s="2">
        <v>2100</v>
      </c>
      <c r="O43" s="2">
        <v>60</v>
      </c>
      <c r="P43" s="2">
        <v>68</v>
      </c>
      <c r="Q43" s="2">
        <v>275</v>
      </c>
      <c r="R43" s="3"/>
    </row>
    <row r="44" spans="1:18" ht="28" x14ac:dyDescent="0.35">
      <c r="A44" s="2">
        <v>43</v>
      </c>
      <c r="B44" s="2" t="s">
        <v>182</v>
      </c>
      <c r="C44" s="3" t="s">
        <v>181</v>
      </c>
      <c r="D44" s="2">
        <v>31</v>
      </c>
      <c r="E44" s="2">
        <v>50</v>
      </c>
      <c r="F44" s="3" t="s">
        <v>133</v>
      </c>
      <c r="G44" s="3" t="s">
        <v>119</v>
      </c>
      <c r="H44" s="4">
        <v>18.5</v>
      </c>
      <c r="I44" s="4">
        <v>22.9</v>
      </c>
      <c r="J44" s="3" t="s">
        <v>123</v>
      </c>
      <c r="K44" s="3" t="s">
        <v>124</v>
      </c>
      <c r="L44" s="2">
        <v>2300</v>
      </c>
      <c r="M44" s="2">
        <v>2600</v>
      </c>
      <c r="N44" s="2">
        <v>2400</v>
      </c>
      <c r="O44" s="2">
        <v>68</v>
      </c>
      <c r="P44" s="2">
        <v>78</v>
      </c>
      <c r="Q44" s="2">
        <v>315</v>
      </c>
      <c r="R44" s="3"/>
    </row>
    <row r="45" spans="1:18" ht="28" x14ac:dyDescent="0.35">
      <c r="A45" s="2">
        <v>44</v>
      </c>
      <c r="B45" s="2" t="s">
        <v>183</v>
      </c>
      <c r="C45" s="3" t="s">
        <v>181</v>
      </c>
      <c r="D45" s="2">
        <v>31</v>
      </c>
      <c r="E45" s="2">
        <v>50</v>
      </c>
      <c r="F45" s="3" t="s">
        <v>133</v>
      </c>
      <c r="G45" s="3" t="s">
        <v>119</v>
      </c>
      <c r="H45" s="4">
        <v>18.5</v>
      </c>
      <c r="I45" s="4">
        <v>22.9</v>
      </c>
      <c r="J45" s="3" t="s">
        <v>145</v>
      </c>
      <c r="K45" s="3" t="s">
        <v>146</v>
      </c>
      <c r="L45" s="2">
        <v>2700</v>
      </c>
      <c r="M45" s="2">
        <v>3100</v>
      </c>
      <c r="N45" s="2">
        <v>2900</v>
      </c>
      <c r="O45" s="2">
        <v>80</v>
      </c>
      <c r="P45" s="2">
        <v>95</v>
      </c>
      <c r="Q45" s="2">
        <v>385</v>
      </c>
      <c r="R45" s="3"/>
    </row>
    <row r="46" spans="1:18" x14ac:dyDescent="0.35">
      <c r="A46" s="2">
        <v>45</v>
      </c>
      <c r="B46" s="2" t="s">
        <v>184</v>
      </c>
      <c r="C46" s="3" t="s">
        <v>181</v>
      </c>
      <c r="D46" s="2">
        <v>31</v>
      </c>
      <c r="E46" s="2">
        <v>50</v>
      </c>
      <c r="F46" s="3" t="s">
        <v>133</v>
      </c>
      <c r="G46" s="3" t="s">
        <v>167</v>
      </c>
      <c r="H46" s="4">
        <v>23</v>
      </c>
      <c r="I46" s="4">
        <v>24.9</v>
      </c>
      <c r="J46" s="3" t="s">
        <v>120</v>
      </c>
      <c r="K46" s="3" t="s">
        <v>121</v>
      </c>
      <c r="L46" s="2">
        <v>1700</v>
      </c>
      <c r="M46" s="2">
        <v>2000</v>
      </c>
      <c r="N46" s="2">
        <v>1800</v>
      </c>
      <c r="O46" s="2">
        <v>55</v>
      </c>
      <c r="P46" s="2">
        <v>58</v>
      </c>
      <c r="Q46" s="2">
        <v>235</v>
      </c>
      <c r="R46" s="3"/>
    </row>
    <row r="47" spans="1:18" x14ac:dyDescent="0.35">
      <c r="A47" s="2">
        <v>46</v>
      </c>
      <c r="B47" s="2" t="s">
        <v>185</v>
      </c>
      <c r="C47" s="3" t="s">
        <v>181</v>
      </c>
      <c r="D47" s="2">
        <v>31</v>
      </c>
      <c r="E47" s="2">
        <v>50</v>
      </c>
      <c r="F47" s="3" t="s">
        <v>133</v>
      </c>
      <c r="G47" s="3" t="s">
        <v>170</v>
      </c>
      <c r="H47" s="4">
        <v>25</v>
      </c>
      <c r="I47" s="4">
        <v>35</v>
      </c>
      <c r="J47" s="3" t="s">
        <v>120</v>
      </c>
      <c r="K47" s="3" t="s">
        <v>121</v>
      </c>
      <c r="L47" s="2">
        <v>1400</v>
      </c>
      <c r="M47" s="2">
        <v>1700</v>
      </c>
      <c r="N47" s="2">
        <v>1500</v>
      </c>
      <c r="O47" s="2">
        <v>55</v>
      </c>
      <c r="P47" s="2">
        <v>48</v>
      </c>
      <c r="Q47" s="2">
        <v>195</v>
      </c>
      <c r="R47" s="3" t="s">
        <v>171</v>
      </c>
    </row>
    <row r="48" spans="1:18" x14ac:dyDescent="0.35">
      <c r="A48" s="2">
        <v>47</v>
      </c>
      <c r="B48" s="2" t="s">
        <v>186</v>
      </c>
      <c r="C48" s="3" t="s">
        <v>181</v>
      </c>
      <c r="D48" s="2">
        <v>31</v>
      </c>
      <c r="E48" s="2">
        <v>50</v>
      </c>
      <c r="F48" s="3" t="s">
        <v>136</v>
      </c>
      <c r="G48" s="3" t="s">
        <v>119</v>
      </c>
      <c r="H48" s="4">
        <v>18.5</v>
      </c>
      <c r="I48" s="4">
        <v>22.9</v>
      </c>
      <c r="J48" s="3" t="s">
        <v>120</v>
      </c>
      <c r="K48" s="3" t="s">
        <v>121</v>
      </c>
      <c r="L48" s="2">
        <v>1600</v>
      </c>
      <c r="M48" s="2">
        <v>1900</v>
      </c>
      <c r="N48" s="2">
        <v>1700</v>
      </c>
      <c r="O48" s="2">
        <v>50</v>
      </c>
      <c r="P48" s="2">
        <v>55</v>
      </c>
      <c r="Q48" s="2">
        <v>220</v>
      </c>
      <c r="R48" s="3"/>
    </row>
    <row r="49" spans="1:18" ht="28" x14ac:dyDescent="0.35">
      <c r="A49" s="2">
        <v>48</v>
      </c>
      <c r="B49" s="2" t="s">
        <v>187</v>
      </c>
      <c r="C49" s="3" t="s">
        <v>181</v>
      </c>
      <c r="D49" s="2">
        <v>31</v>
      </c>
      <c r="E49" s="2">
        <v>50</v>
      </c>
      <c r="F49" s="3" t="s">
        <v>136</v>
      </c>
      <c r="G49" s="3" t="s">
        <v>119</v>
      </c>
      <c r="H49" s="4">
        <v>18.5</v>
      </c>
      <c r="I49" s="4">
        <v>22.9</v>
      </c>
      <c r="J49" s="3" t="s">
        <v>123</v>
      </c>
      <c r="K49" s="3" t="s">
        <v>124</v>
      </c>
      <c r="L49" s="2">
        <v>1900</v>
      </c>
      <c r="M49" s="2">
        <v>2200</v>
      </c>
      <c r="N49" s="2">
        <v>2000</v>
      </c>
      <c r="O49" s="2">
        <v>58</v>
      </c>
      <c r="P49" s="2">
        <v>65</v>
      </c>
      <c r="Q49" s="2">
        <v>260</v>
      </c>
      <c r="R49" s="3"/>
    </row>
    <row r="50" spans="1:18" ht="28" x14ac:dyDescent="0.35">
      <c r="A50" s="2">
        <v>49</v>
      </c>
      <c r="B50" s="2" t="s">
        <v>188</v>
      </c>
      <c r="C50" s="3" t="s">
        <v>181</v>
      </c>
      <c r="D50" s="2">
        <v>31</v>
      </c>
      <c r="E50" s="2">
        <v>50</v>
      </c>
      <c r="F50" s="3" t="s">
        <v>136</v>
      </c>
      <c r="G50" s="3" t="s">
        <v>119</v>
      </c>
      <c r="H50" s="4">
        <v>18.5</v>
      </c>
      <c r="I50" s="4">
        <v>22.9</v>
      </c>
      <c r="J50" s="3" t="s">
        <v>145</v>
      </c>
      <c r="K50" s="3" t="s">
        <v>146</v>
      </c>
      <c r="L50" s="2">
        <v>2200</v>
      </c>
      <c r="M50" s="2">
        <v>2500</v>
      </c>
      <c r="N50" s="2">
        <v>2300</v>
      </c>
      <c r="O50" s="2">
        <v>68</v>
      </c>
      <c r="P50" s="2">
        <v>75</v>
      </c>
      <c r="Q50" s="2">
        <v>305</v>
      </c>
      <c r="R50" s="3"/>
    </row>
    <row r="51" spans="1:18" x14ac:dyDescent="0.35">
      <c r="A51" s="2">
        <v>50</v>
      </c>
      <c r="B51" s="2" t="s">
        <v>189</v>
      </c>
      <c r="C51" s="3" t="s">
        <v>181</v>
      </c>
      <c r="D51" s="2">
        <v>31</v>
      </c>
      <c r="E51" s="2">
        <v>50</v>
      </c>
      <c r="F51" s="3" t="s">
        <v>136</v>
      </c>
      <c r="G51" s="3" t="s">
        <v>167</v>
      </c>
      <c r="H51" s="4">
        <v>23</v>
      </c>
      <c r="I51" s="4">
        <v>24.9</v>
      </c>
      <c r="J51" s="3" t="s">
        <v>120</v>
      </c>
      <c r="K51" s="3" t="s">
        <v>121</v>
      </c>
      <c r="L51" s="2">
        <v>1300</v>
      </c>
      <c r="M51" s="2">
        <v>1600</v>
      </c>
      <c r="N51" s="2">
        <v>1400</v>
      </c>
      <c r="O51" s="2">
        <v>48</v>
      </c>
      <c r="P51" s="2">
        <v>45</v>
      </c>
      <c r="Q51" s="2">
        <v>185</v>
      </c>
      <c r="R51" s="3"/>
    </row>
    <row r="52" spans="1:18" x14ac:dyDescent="0.35">
      <c r="A52" s="2">
        <v>51</v>
      </c>
      <c r="B52" s="2" t="s">
        <v>190</v>
      </c>
      <c r="C52" s="3" t="s">
        <v>181</v>
      </c>
      <c r="D52" s="2">
        <v>31</v>
      </c>
      <c r="E52" s="2">
        <v>50</v>
      </c>
      <c r="F52" s="3" t="s">
        <v>136</v>
      </c>
      <c r="G52" s="3" t="s">
        <v>170</v>
      </c>
      <c r="H52" s="4">
        <v>25</v>
      </c>
      <c r="I52" s="4">
        <v>35</v>
      </c>
      <c r="J52" s="3" t="s">
        <v>120</v>
      </c>
      <c r="K52" s="3" t="s">
        <v>121</v>
      </c>
      <c r="L52" s="2">
        <v>1100</v>
      </c>
      <c r="M52" s="2">
        <v>1400</v>
      </c>
      <c r="N52" s="2">
        <v>1200</v>
      </c>
      <c r="O52" s="2">
        <v>45</v>
      </c>
      <c r="P52" s="2">
        <v>40</v>
      </c>
      <c r="Q52" s="2">
        <v>158</v>
      </c>
      <c r="R52" s="3" t="s">
        <v>171</v>
      </c>
    </row>
    <row r="53" spans="1:18" x14ac:dyDescent="0.35">
      <c r="A53" s="2">
        <v>52</v>
      </c>
      <c r="B53" s="2" t="s">
        <v>191</v>
      </c>
      <c r="C53" s="3" t="s">
        <v>192</v>
      </c>
      <c r="D53" s="2">
        <v>51</v>
      </c>
      <c r="E53" s="2">
        <v>65</v>
      </c>
      <c r="F53" s="3" t="s">
        <v>133</v>
      </c>
      <c r="G53" s="3" t="s">
        <v>119</v>
      </c>
      <c r="H53" s="4">
        <v>18.5</v>
      </c>
      <c r="I53" s="4">
        <v>22.9</v>
      </c>
      <c r="J53" s="3" t="s">
        <v>120</v>
      </c>
      <c r="K53" s="3" t="s">
        <v>121</v>
      </c>
      <c r="L53" s="2">
        <v>1900</v>
      </c>
      <c r="M53" s="2">
        <v>2200</v>
      </c>
      <c r="N53" s="2">
        <v>2000</v>
      </c>
      <c r="O53" s="2">
        <v>58</v>
      </c>
      <c r="P53" s="2">
        <v>65</v>
      </c>
      <c r="Q53" s="2">
        <v>260</v>
      </c>
      <c r="R53" s="3"/>
    </row>
    <row r="54" spans="1:18" ht="28" x14ac:dyDescent="0.35">
      <c r="A54" s="2">
        <v>53</v>
      </c>
      <c r="B54" s="2" t="s">
        <v>193</v>
      </c>
      <c r="C54" s="3" t="s">
        <v>192</v>
      </c>
      <c r="D54" s="2">
        <v>51</v>
      </c>
      <c r="E54" s="2">
        <v>65</v>
      </c>
      <c r="F54" s="3" t="s">
        <v>133</v>
      </c>
      <c r="G54" s="3" t="s">
        <v>119</v>
      </c>
      <c r="H54" s="4">
        <v>18.5</v>
      </c>
      <c r="I54" s="4">
        <v>22.9</v>
      </c>
      <c r="J54" s="3" t="s">
        <v>123</v>
      </c>
      <c r="K54" s="3" t="s">
        <v>124</v>
      </c>
      <c r="L54" s="2">
        <v>2200</v>
      </c>
      <c r="M54" s="2">
        <v>2500</v>
      </c>
      <c r="N54" s="2">
        <v>2300</v>
      </c>
      <c r="O54" s="2">
        <v>65</v>
      </c>
      <c r="P54" s="2">
        <v>75</v>
      </c>
      <c r="Q54" s="2">
        <v>305</v>
      </c>
      <c r="R54" s="3"/>
    </row>
    <row r="55" spans="1:18" ht="28" x14ac:dyDescent="0.35">
      <c r="A55" s="2">
        <v>54</v>
      </c>
      <c r="B55" s="2" t="s">
        <v>194</v>
      </c>
      <c r="C55" s="3" t="s">
        <v>192</v>
      </c>
      <c r="D55" s="2">
        <v>51</v>
      </c>
      <c r="E55" s="2">
        <v>65</v>
      </c>
      <c r="F55" s="3" t="s">
        <v>133</v>
      </c>
      <c r="G55" s="3" t="s">
        <v>119</v>
      </c>
      <c r="H55" s="4">
        <v>18.5</v>
      </c>
      <c r="I55" s="4">
        <v>22.9</v>
      </c>
      <c r="J55" s="3" t="s">
        <v>145</v>
      </c>
      <c r="K55" s="3" t="s">
        <v>146</v>
      </c>
      <c r="L55" s="2">
        <v>2600</v>
      </c>
      <c r="M55" s="2">
        <v>3000</v>
      </c>
      <c r="N55" s="2">
        <v>2800</v>
      </c>
      <c r="O55" s="2">
        <v>75</v>
      </c>
      <c r="P55" s="2">
        <v>90</v>
      </c>
      <c r="Q55" s="2">
        <v>370</v>
      </c>
      <c r="R55" s="3"/>
    </row>
    <row r="56" spans="1:18" x14ac:dyDescent="0.35">
      <c r="A56" s="2">
        <v>55</v>
      </c>
      <c r="B56" s="2" t="s">
        <v>195</v>
      </c>
      <c r="C56" s="3" t="s">
        <v>192</v>
      </c>
      <c r="D56" s="2">
        <v>51</v>
      </c>
      <c r="E56" s="2">
        <v>65</v>
      </c>
      <c r="F56" s="3" t="s">
        <v>133</v>
      </c>
      <c r="G56" s="3" t="s">
        <v>167</v>
      </c>
      <c r="H56" s="4">
        <v>23</v>
      </c>
      <c r="I56" s="4">
        <v>24.9</v>
      </c>
      <c r="J56" s="3" t="s">
        <v>120</v>
      </c>
      <c r="K56" s="3" t="s">
        <v>121</v>
      </c>
      <c r="L56" s="2">
        <v>1600</v>
      </c>
      <c r="M56" s="2">
        <v>1900</v>
      </c>
      <c r="N56" s="2">
        <v>1700</v>
      </c>
      <c r="O56" s="2">
        <v>55</v>
      </c>
      <c r="P56" s="2">
        <v>55</v>
      </c>
      <c r="Q56" s="2">
        <v>220</v>
      </c>
      <c r="R56" s="3"/>
    </row>
    <row r="57" spans="1:18" x14ac:dyDescent="0.35">
      <c r="A57" s="2">
        <v>56</v>
      </c>
      <c r="B57" s="2" t="s">
        <v>196</v>
      </c>
      <c r="C57" s="3" t="s">
        <v>192</v>
      </c>
      <c r="D57" s="2">
        <v>51</v>
      </c>
      <c r="E57" s="2">
        <v>65</v>
      </c>
      <c r="F57" s="3" t="s">
        <v>136</v>
      </c>
      <c r="G57" s="3" t="s">
        <v>119</v>
      </c>
      <c r="H57" s="4">
        <v>18.5</v>
      </c>
      <c r="I57" s="4">
        <v>22.9</v>
      </c>
      <c r="J57" s="3" t="s">
        <v>120</v>
      </c>
      <c r="K57" s="3" t="s">
        <v>121</v>
      </c>
      <c r="L57" s="2">
        <v>1500</v>
      </c>
      <c r="M57" s="2">
        <v>1800</v>
      </c>
      <c r="N57" s="2">
        <v>1600</v>
      </c>
      <c r="O57" s="2">
        <v>50</v>
      </c>
      <c r="P57" s="2">
        <v>52</v>
      </c>
      <c r="Q57" s="2">
        <v>210</v>
      </c>
      <c r="R57" s="3"/>
    </row>
    <row r="58" spans="1:18" ht="28" x14ac:dyDescent="0.35">
      <c r="A58" s="2">
        <v>57</v>
      </c>
      <c r="B58" s="2" t="s">
        <v>197</v>
      </c>
      <c r="C58" s="3" t="s">
        <v>192</v>
      </c>
      <c r="D58" s="2">
        <v>51</v>
      </c>
      <c r="E58" s="2">
        <v>65</v>
      </c>
      <c r="F58" s="3" t="s">
        <v>136</v>
      </c>
      <c r="G58" s="3" t="s">
        <v>119</v>
      </c>
      <c r="H58" s="4">
        <v>18.5</v>
      </c>
      <c r="I58" s="4">
        <v>22.9</v>
      </c>
      <c r="J58" s="3" t="s">
        <v>123</v>
      </c>
      <c r="K58" s="3" t="s">
        <v>124</v>
      </c>
      <c r="L58" s="2">
        <v>1800</v>
      </c>
      <c r="M58" s="2">
        <v>2100</v>
      </c>
      <c r="N58" s="2">
        <v>1900</v>
      </c>
      <c r="O58" s="2">
        <v>58</v>
      </c>
      <c r="P58" s="2">
        <v>62</v>
      </c>
      <c r="Q58" s="2">
        <v>250</v>
      </c>
      <c r="R58" s="3"/>
    </row>
    <row r="59" spans="1:18" ht="28" x14ac:dyDescent="0.35">
      <c r="A59" s="2">
        <v>58</v>
      </c>
      <c r="B59" s="2" t="s">
        <v>198</v>
      </c>
      <c r="C59" s="3" t="s">
        <v>192</v>
      </c>
      <c r="D59" s="2">
        <v>51</v>
      </c>
      <c r="E59" s="2">
        <v>65</v>
      </c>
      <c r="F59" s="3" t="s">
        <v>136</v>
      </c>
      <c r="G59" s="3" t="s">
        <v>119</v>
      </c>
      <c r="H59" s="4">
        <v>18.5</v>
      </c>
      <c r="I59" s="4">
        <v>22.9</v>
      </c>
      <c r="J59" s="3" t="s">
        <v>145</v>
      </c>
      <c r="K59" s="3" t="s">
        <v>146</v>
      </c>
      <c r="L59" s="2">
        <v>2100</v>
      </c>
      <c r="M59" s="2">
        <v>2400</v>
      </c>
      <c r="N59" s="2">
        <v>2200</v>
      </c>
      <c r="O59" s="2">
        <v>65</v>
      </c>
      <c r="P59" s="2">
        <v>72</v>
      </c>
      <c r="Q59" s="2">
        <v>290</v>
      </c>
      <c r="R59" s="3"/>
    </row>
    <row r="60" spans="1:18" x14ac:dyDescent="0.35">
      <c r="A60" s="2">
        <v>59</v>
      </c>
      <c r="B60" s="2" t="s">
        <v>199</v>
      </c>
      <c r="C60" s="3" t="s">
        <v>192</v>
      </c>
      <c r="D60" s="2">
        <v>51</v>
      </c>
      <c r="E60" s="2">
        <v>65</v>
      </c>
      <c r="F60" s="3" t="s">
        <v>136</v>
      </c>
      <c r="G60" s="3" t="s">
        <v>167</v>
      </c>
      <c r="H60" s="4">
        <v>23</v>
      </c>
      <c r="I60" s="4">
        <v>24.9</v>
      </c>
      <c r="J60" s="3" t="s">
        <v>120</v>
      </c>
      <c r="K60" s="3" t="s">
        <v>121</v>
      </c>
      <c r="L60" s="2">
        <v>1200</v>
      </c>
      <c r="M60" s="2">
        <v>1500</v>
      </c>
      <c r="N60" s="2">
        <v>1300</v>
      </c>
      <c r="O60" s="2">
        <v>48</v>
      </c>
      <c r="P60" s="2">
        <v>42</v>
      </c>
      <c r="Q60" s="2">
        <v>170</v>
      </c>
      <c r="R60" s="3"/>
    </row>
    <row r="61" spans="1:18" x14ac:dyDescent="0.35">
      <c r="A61" s="2">
        <v>60</v>
      </c>
      <c r="B61" s="2" t="s">
        <v>200</v>
      </c>
      <c r="C61" s="3" t="s">
        <v>201</v>
      </c>
      <c r="D61" s="2">
        <v>66</v>
      </c>
      <c r="E61" s="2">
        <v>99</v>
      </c>
      <c r="F61" s="3" t="s">
        <v>133</v>
      </c>
      <c r="G61" s="3" t="s">
        <v>140</v>
      </c>
      <c r="H61" s="4">
        <v>15.5</v>
      </c>
      <c r="I61" s="4">
        <v>18.399999999999999</v>
      </c>
      <c r="J61" s="3" t="s">
        <v>120</v>
      </c>
      <c r="K61" s="3" t="s">
        <v>121</v>
      </c>
      <c r="L61" s="2">
        <v>2000</v>
      </c>
      <c r="M61" s="2">
        <v>2300</v>
      </c>
      <c r="N61" s="2">
        <v>2100</v>
      </c>
      <c r="O61" s="2">
        <v>65</v>
      </c>
      <c r="P61" s="2">
        <v>68</v>
      </c>
      <c r="Q61" s="2">
        <v>275</v>
      </c>
      <c r="R61" s="3" t="s">
        <v>202</v>
      </c>
    </row>
    <row r="62" spans="1:18" x14ac:dyDescent="0.35">
      <c r="A62" s="2">
        <v>61</v>
      </c>
      <c r="B62" s="2" t="s">
        <v>203</v>
      </c>
      <c r="C62" s="3" t="s">
        <v>201</v>
      </c>
      <c r="D62" s="2">
        <v>66</v>
      </c>
      <c r="E62" s="2">
        <v>99</v>
      </c>
      <c r="F62" s="3" t="s">
        <v>133</v>
      </c>
      <c r="G62" s="3" t="s">
        <v>119</v>
      </c>
      <c r="H62" s="4">
        <v>18.5</v>
      </c>
      <c r="I62" s="4">
        <v>22.9</v>
      </c>
      <c r="J62" s="3" t="s">
        <v>120</v>
      </c>
      <c r="K62" s="3" t="s">
        <v>121</v>
      </c>
      <c r="L62" s="2">
        <v>1700</v>
      </c>
      <c r="M62" s="2">
        <v>2000</v>
      </c>
      <c r="N62" s="2">
        <v>1800</v>
      </c>
      <c r="O62" s="2">
        <v>58</v>
      </c>
      <c r="P62" s="2">
        <v>58</v>
      </c>
      <c r="Q62" s="2">
        <v>235</v>
      </c>
      <c r="R62" s="3"/>
    </row>
    <row r="63" spans="1:18" ht="28" x14ac:dyDescent="0.35">
      <c r="A63" s="2">
        <v>62</v>
      </c>
      <c r="B63" s="2" t="s">
        <v>204</v>
      </c>
      <c r="C63" s="3" t="s">
        <v>201</v>
      </c>
      <c r="D63" s="2">
        <v>66</v>
      </c>
      <c r="E63" s="2">
        <v>99</v>
      </c>
      <c r="F63" s="3" t="s">
        <v>133</v>
      </c>
      <c r="G63" s="3" t="s">
        <v>119</v>
      </c>
      <c r="H63" s="4">
        <v>18.5</v>
      </c>
      <c r="I63" s="4">
        <v>22.9</v>
      </c>
      <c r="J63" s="3" t="s">
        <v>123</v>
      </c>
      <c r="K63" s="3" t="s">
        <v>124</v>
      </c>
      <c r="L63" s="2">
        <v>2000</v>
      </c>
      <c r="M63" s="2">
        <v>2300</v>
      </c>
      <c r="N63" s="2">
        <v>2100</v>
      </c>
      <c r="O63" s="2">
        <v>65</v>
      </c>
      <c r="P63" s="2">
        <v>68</v>
      </c>
      <c r="Q63" s="2">
        <v>275</v>
      </c>
      <c r="R63" s="3"/>
    </row>
    <row r="64" spans="1:18" x14ac:dyDescent="0.35">
      <c r="A64" s="2">
        <v>63</v>
      </c>
      <c r="B64" s="2" t="s">
        <v>205</v>
      </c>
      <c r="C64" s="3" t="s">
        <v>201</v>
      </c>
      <c r="D64" s="2">
        <v>66</v>
      </c>
      <c r="E64" s="2">
        <v>99</v>
      </c>
      <c r="F64" s="3" t="s">
        <v>133</v>
      </c>
      <c r="G64" s="3" t="s">
        <v>167</v>
      </c>
      <c r="H64" s="4">
        <v>23</v>
      </c>
      <c r="I64" s="4">
        <v>24.9</v>
      </c>
      <c r="J64" s="3" t="s">
        <v>120</v>
      </c>
      <c r="K64" s="3" t="s">
        <v>121</v>
      </c>
      <c r="L64" s="2">
        <v>1400</v>
      </c>
      <c r="M64" s="2">
        <v>1700</v>
      </c>
      <c r="N64" s="2">
        <v>1500</v>
      </c>
      <c r="O64" s="2">
        <v>55</v>
      </c>
      <c r="P64" s="2">
        <v>48</v>
      </c>
      <c r="Q64" s="2">
        <v>195</v>
      </c>
      <c r="R64" s="3"/>
    </row>
    <row r="65" spans="1:18" x14ac:dyDescent="0.35">
      <c r="A65" s="2">
        <v>64</v>
      </c>
      <c r="B65" s="2" t="s">
        <v>206</v>
      </c>
      <c r="C65" s="3" t="s">
        <v>201</v>
      </c>
      <c r="D65" s="2">
        <v>66</v>
      </c>
      <c r="E65" s="2">
        <v>99</v>
      </c>
      <c r="F65" s="3" t="s">
        <v>136</v>
      </c>
      <c r="G65" s="3" t="s">
        <v>140</v>
      </c>
      <c r="H65" s="4">
        <v>15.5</v>
      </c>
      <c r="I65" s="4">
        <v>18.399999999999999</v>
      </c>
      <c r="J65" s="3" t="s">
        <v>120</v>
      </c>
      <c r="K65" s="3" t="s">
        <v>121</v>
      </c>
      <c r="L65" s="2">
        <v>1700</v>
      </c>
      <c r="M65" s="2">
        <v>2000</v>
      </c>
      <c r="N65" s="2">
        <v>1800</v>
      </c>
      <c r="O65" s="2">
        <v>55</v>
      </c>
      <c r="P65" s="2">
        <v>58</v>
      </c>
      <c r="Q65" s="2">
        <v>235</v>
      </c>
      <c r="R65" s="3" t="s">
        <v>202</v>
      </c>
    </row>
    <row r="66" spans="1:18" x14ac:dyDescent="0.35">
      <c r="A66" s="2">
        <v>65</v>
      </c>
      <c r="B66" s="2" t="s">
        <v>207</v>
      </c>
      <c r="C66" s="3" t="s">
        <v>201</v>
      </c>
      <c r="D66" s="2">
        <v>66</v>
      </c>
      <c r="E66" s="2">
        <v>99</v>
      </c>
      <c r="F66" s="3" t="s">
        <v>136</v>
      </c>
      <c r="G66" s="3" t="s">
        <v>119</v>
      </c>
      <c r="H66" s="4">
        <v>18.5</v>
      </c>
      <c r="I66" s="4">
        <v>22.9</v>
      </c>
      <c r="J66" s="3" t="s">
        <v>120</v>
      </c>
      <c r="K66" s="3" t="s">
        <v>121</v>
      </c>
      <c r="L66" s="2">
        <v>1400</v>
      </c>
      <c r="M66" s="2">
        <v>1700</v>
      </c>
      <c r="N66" s="2">
        <v>1500</v>
      </c>
      <c r="O66" s="2">
        <v>50</v>
      </c>
      <c r="P66" s="2">
        <v>48</v>
      </c>
      <c r="Q66" s="2">
        <v>195</v>
      </c>
      <c r="R66" s="3"/>
    </row>
    <row r="67" spans="1:18" ht="28" x14ac:dyDescent="0.35">
      <c r="A67" s="2">
        <v>66</v>
      </c>
      <c r="B67" s="2" t="s">
        <v>208</v>
      </c>
      <c r="C67" s="3" t="s">
        <v>201</v>
      </c>
      <c r="D67" s="2">
        <v>66</v>
      </c>
      <c r="E67" s="2">
        <v>99</v>
      </c>
      <c r="F67" s="3" t="s">
        <v>136</v>
      </c>
      <c r="G67" s="3" t="s">
        <v>119</v>
      </c>
      <c r="H67" s="4">
        <v>18.5</v>
      </c>
      <c r="I67" s="4">
        <v>22.9</v>
      </c>
      <c r="J67" s="3" t="s">
        <v>123</v>
      </c>
      <c r="K67" s="3" t="s">
        <v>124</v>
      </c>
      <c r="L67" s="2">
        <v>1700</v>
      </c>
      <c r="M67" s="2">
        <v>2000</v>
      </c>
      <c r="N67" s="2">
        <v>1800</v>
      </c>
      <c r="O67" s="2">
        <v>58</v>
      </c>
      <c r="P67" s="2">
        <v>58</v>
      </c>
      <c r="Q67" s="2">
        <v>235</v>
      </c>
      <c r="R67" s="3"/>
    </row>
    <row r="68" spans="1:18" x14ac:dyDescent="0.35">
      <c r="A68" s="2">
        <v>67</v>
      </c>
      <c r="B68" s="2" t="s">
        <v>209</v>
      </c>
      <c r="C68" s="3" t="s">
        <v>201</v>
      </c>
      <c r="D68" s="2">
        <v>66</v>
      </c>
      <c r="E68" s="2">
        <v>99</v>
      </c>
      <c r="F68" s="3" t="s">
        <v>136</v>
      </c>
      <c r="G68" s="3" t="s">
        <v>167</v>
      </c>
      <c r="H68" s="4">
        <v>23</v>
      </c>
      <c r="I68" s="4">
        <v>24.9</v>
      </c>
      <c r="J68" s="3" t="s">
        <v>120</v>
      </c>
      <c r="K68" s="3" t="s">
        <v>121</v>
      </c>
      <c r="L68" s="2">
        <v>1100</v>
      </c>
      <c r="M68" s="2">
        <v>1400</v>
      </c>
      <c r="N68" s="2">
        <v>1200</v>
      </c>
      <c r="O68" s="2">
        <v>45</v>
      </c>
      <c r="P68" s="2">
        <v>40</v>
      </c>
      <c r="Q68" s="2">
        <v>158</v>
      </c>
      <c r="R68" s="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Link Tài liệu</vt:lpstr>
      <vt:lpstr>2.Thực Phẩm sống</vt:lpstr>
      <vt:lpstr>3.Danh_muc_mon_an</vt:lpstr>
      <vt:lpstr>4. Năng lượng theo độ tuổi</vt:lpstr>
      <vt:lpstr>Nhu_cau_nang_luong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Huong Huong</cp:lastModifiedBy>
  <cp:revision>0</cp:revision>
  <dcterms:created xsi:type="dcterms:W3CDTF">2026-06-05T07:27:12Z</dcterms:created>
  <dcterms:modified xsi:type="dcterms:W3CDTF">2026-06-12T01:32:08Z</dcterms:modified>
  <dc:language>en-US</dc:language>
</cp:coreProperties>
</file>